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ev\Tools\OSMMapper\src\test\resources\"/>
    </mc:Choice>
  </mc:AlternateContent>
  <xr:revisionPtr revIDLastSave="0" documentId="13_ncr:1_{6964382B-D814-4077-BB09-FA2C53063AF0}" xr6:coauthVersionLast="47" xr6:coauthVersionMax="47" xr10:uidLastSave="{00000000-0000-0000-0000-000000000000}"/>
  <bookViews>
    <workbookView xWindow="1125" yWindow="660" windowWidth="21600" windowHeight="11295" xr2:uid="{8FAF6043-79F4-184F-9E18-FE08AF6FBDF9}"/>
  </bookViews>
  <sheets>
    <sheet name="Hoevelaken-adressenlijst" sheetId="3" r:id="rId1"/>
    <sheet name="Blad1" sheetId="4" r:id="rId2"/>
    <sheet name="Blad2" sheetId="5" r:id="rId3"/>
  </sheets>
  <definedNames>
    <definedName name="_xlnm._FilterDatabase" localSheetId="1" hidden="1">Blad1!$A$1:$D$86</definedName>
    <definedName name="_xlnm._FilterDatabase" localSheetId="0" hidden="1">'Hoevelaken-adressenlijst'!$A$1:$M$1</definedName>
  </definedNames>
  <calcPr calcId="191029"/>
</workbook>
</file>

<file path=xl/calcChain.xml><?xml version="1.0" encoding="utf-8"?>
<calcChain xmlns="http://schemas.openxmlformats.org/spreadsheetml/2006/main">
  <c r="E68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2" i="3"/>
  <c r="G12" i="3"/>
  <c r="G16" i="3"/>
  <c r="G13" i="3"/>
  <c r="G14" i="3"/>
  <c r="G15" i="3"/>
  <c r="G21" i="3"/>
  <c r="G17" i="3"/>
  <c r="G20" i="3"/>
  <c r="G19" i="3"/>
  <c r="G18" i="3"/>
  <c r="G3" i="3"/>
  <c r="G7" i="3"/>
  <c r="G8" i="3"/>
  <c r="G5" i="3"/>
  <c r="G10" i="3"/>
  <c r="G22" i="3"/>
  <c r="G6" i="3"/>
  <c r="G4" i="3"/>
  <c r="G9" i="3"/>
  <c r="G2" i="3"/>
  <c r="G30" i="3"/>
  <c r="G38" i="3"/>
  <c r="G31" i="3"/>
  <c r="G35" i="3"/>
  <c r="G40" i="3"/>
  <c r="G24" i="3"/>
  <c r="G34" i="3"/>
  <c r="G25" i="3"/>
  <c r="G39" i="3"/>
  <c r="G29" i="3"/>
  <c r="G28" i="3"/>
  <c r="G37" i="3"/>
  <c r="G32" i="3"/>
  <c r="G27" i="3"/>
  <c r="G33" i="3"/>
  <c r="G26" i="3"/>
  <c r="G36" i="3"/>
  <c r="G23" i="3"/>
  <c r="G46" i="3"/>
  <c r="G59" i="3"/>
  <c r="G42" i="3"/>
  <c r="G50" i="3"/>
  <c r="G41" i="3"/>
  <c r="G60" i="3"/>
  <c r="G44" i="3"/>
  <c r="G54" i="3"/>
  <c r="G51" i="3"/>
  <c r="G55" i="3"/>
  <c r="G43" i="3"/>
  <c r="G47" i="3"/>
  <c r="G53" i="3"/>
  <c r="G48" i="3"/>
  <c r="G52" i="3"/>
  <c r="G56" i="3"/>
  <c r="G45" i="3"/>
  <c r="G49" i="3"/>
  <c r="G57" i="3"/>
  <c r="G58" i="3"/>
  <c r="G67" i="3"/>
  <c r="G70" i="3"/>
  <c r="G69" i="3"/>
  <c r="G66" i="3"/>
  <c r="G68" i="3"/>
  <c r="G63" i="3"/>
  <c r="G64" i="3"/>
  <c r="G65" i="3"/>
  <c r="G62" i="3"/>
  <c r="G61" i="3"/>
  <c r="G85" i="3"/>
  <c r="G76" i="3"/>
  <c r="G83" i="3"/>
  <c r="G75" i="3"/>
  <c r="G77" i="3"/>
  <c r="G84" i="3"/>
  <c r="G82" i="3"/>
  <c r="G72" i="3"/>
  <c r="G71" i="3"/>
  <c r="G73" i="3"/>
  <c r="G78" i="3"/>
  <c r="G79" i="3"/>
  <c r="G81" i="3"/>
  <c r="G86" i="3"/>
  <c r="G74" i="3"/>
  <c r="G80" i="3"/>
  <c r="G92" i="3"/>
  <c r="G90" i="3"/>
  <c r="G88" i="3"/>
  <c r="G87" i="3"/>
  <c r="G89" i="3"/>
  <c r="G91" i="3"/>
  <c r="G98" i="3"/>
  <c r="G95" i="3"/>
  <c r="G94" i="3"/>
  <c r="G99" i="3"/>
  <c r="G97" i="3"/>
  <c r="G100" i="3"/>
  <c r="G96" i="3"/>
  <c r="G93" i="3"/>
  <c r="G105" i="3"/>
  <c r="G102" i="3"/>
  <c r="G110" i="3"/>
  <c r="G103" i="3"/>
  <c r="G104" i="3"/>
  <c r="G111" i="3"/>
  <c r="G108" i="3"/>
  <c r="G101" i="3"/>
  <c r="G109" i="3"/>
  <c r="G106" i="3"/>
  <c r="G112" i="3"/>
  <c r="G107" i="3"/>
  <c r="G123" i="3"/>
  <c r="G116" i="3"/>
  <c r="G118" i="3"/>
  <c r="G114" i="3"/>
  <c r="G122" i="3"/>
  <c r="G127" i="3"/>
  <c r="G117" i="3"/>
  <c r="G119" i="3"/>
  <c r="G113" i="3"/>
  <c r="G125" i="3"/>
  <c r="G115" i="3"/>
  <c r="G120" i="3"/>
  <c r="G121" i="3"/>
  <c r="G126" i="3"/>
  <c r="G128" i="3"/>
  <c r="G124" i="3"/>
  <c r="G139" i="3"/>
  <c r="G138" i="3"/>
  <c r="G136" i="3"/>
  <c r="G137" i="3"/>
  <c r="G129" i="3"/>
  <c r="G132" i="3"/>
  <c r="G133" i="3"/>
  <c r="G131" i="3"/>
  <c r="G135" i="3"/>
  <c r="G141" i="3"/>
  <c r="G134" i="3"/>
  <c r="G146" i="3"/>
  <c r="G142" i="3"/>
  <c r="G145" i="3"/>
  <c r="G130" i="3"/>
  <c r="G140" i="3"/>
  <c r="G144" i="3"/>
  <c r="G147" i="3"/>
  <c r="G143" i="3"/>
  <c r="G148" i="3"/>
  <c r="G149" i="3"/>
  <c r="G157" i="3"/>
  <c r="G156" i="3"/>
  <c r="G150" i="3"/>
  <c r="G151" i="3"/>
  <c r="G153" i="3"/>
  <c r="G160" i="3"/>
  <c r="G161" i="3"/>
  <c r="G159" i="3"/>
  <c r="G158" i="3"/>
  <c r="G152" i="3"/>
  <c r="G154" i="3"/>
  <c r="G155" i="3"/>
  <c r="G162" i="3"/>
  <c r="G171" i="3"/>
  <c r="G163" i="3"/>
  <c r="G164" i="3"/>
  <c r="G173" i="3"/>
  <c r="G174" i="3"/>
  <c r="G167" i="3"/>
  <c r="G165" i="3"/>
  <c r="G166" i="3"/>
  <c r="G168" i="3"/>
  <c r="G170" i="3"/>
  <c r="G169" i="3"/>
  <c r="G172" i="3"/>
  <c r="G175" i="3"/>
  <c r="G179" i="3"/>
  <c r="G176" i="3"/>
  <c r="G177" i="3"/>
  <c r="G178" i="3"/>
  <c r="G180" i="3"/>
  <c r="G195" i="3"/>
  <c r="G181" i="3"/>
  <c r="G194" i="3"/>
  <c r="G182" i="3"/>
  <c r="G186" i="3"/>
  <c r="G196" i="3"/>
  <c r="G185" i="3"/>
  <c r="G183" i="3"/>
  <c r="G189" i="3"/>
  <c r="G192" i="3"/>
  <c r="G190" i="3"/>
  <c r="G193" i="3"/>
  <c r="G191" i="3"/>
  <c r="G184" i="3"/>
  <c r="G188" i="3"/>
  <c r="G187" i="3"/>
  <c r="G212" i="3"/>
  <c r="G204" i="3"/>
  <c r="G200" i="3"/>
  <c r="G202" i="3"/>
  <c r="G223" i="3"/>
  <c r="G244" i="3"/>
  <c r="G225" i="3"/>
  <c r="G231" i="3"/>
  <c r="G241" i="3"/>
  <c r="G210" i="3"/>
  <c r="G229" i="3"/>
  <c r="G237" i="3"/>
  <c r="G242" i="3"/>
  <c r="G226" i="3"/>
  <c r="G224" i="3"/>
  <c r="G206" i="3"/>
  <c r="G227" i="3"/>
  <c r="G239" i="3"/>
  <c r="G240" i="3"/>
  <c r="G238" i="3"/>
  <c r="G230" i="3"/>
  <c r="G234" i="3"/>
  <c r="G232" i="3"/>
  <c r="G233" i="3"/>
  <c r="G243" i="3"/>
  <c r="G218" i="3"/>
  <c r="G207" i="3"/>
  <c r="G214" i="3"/>
  <c r="G228" i="3"/>
  <c r="G235" i="3"/>
  <c r="G222" i="3"/>
  <c r="G236" i="3"/>
  <c r="G219" i="3"/>
  <c r="G199" i="3"/>
  <c r="G208" i="3"/>
  <c r="G216" i="3"/>
  <c r="G198" i="3"/>
  <c r="G203" i="3"/>
  <c r="G220" i="3"/>
  <c r="G209" i="3"/>
  <c r="G217" i="3"/>
  <c r="G221" i="3"/>
  <c r="G197" i="3"/>
  <c r="G205" i="3"/>
  <c r="G215" i="3"/>
  <c r="G211" i="3"/>
  <c r="G213" i="3"/>
  <c r="G201" i="3"/>
  <c r="G251" i="3"/>
  <c r="G246" i="3"/>
  <c r="G245" i="3"/>
  <c r="G252" i="3"/>
  <c r="G250" i="3"/>
  <c r="G249" i="3"/>
  <c r="G248" i="3"/>
  <c r="G247" i="3"/>
  <c r="G256" i="3"/>
  <c r="G259" i="3"/>
  <c r="G254" i="3"/>
  <c r="G255" i="3"/>
  <c r="G258" i="3"/>
  <c r="G253" i="3"/>
  <c r="G257" i="3"/>
  <c r="G260" i="3"/>
  <c r="G265" i="3"/>
  <c r="G269" i="3"/>
  <c r="G261" i="3"/>
  <c r="G263" i="3"/>
  <c r="G267" i="3"/>
  <c r="G270" i="3"/>
  <c r="G266" i="3"/>
  <c r="G268" i="3"/>
  <c r="G262" i="3"/>
  <c r="G264" i="3"/>
  <c r="G276" i="3"/>
  <c r="G273" i="3"/>
  <c r="G278" i="3"/>
  <c r="G275" i="3"/>
  <c r="G271" i="3"/>
  <c r="G279" i="3"/>
  <c r="G272" i="3"/>
  <c r="G274" i="3"/>
  <c r="G280" i="3"/>
  <c r="G277" i="3"/>
  <c r="G281" i="3"/>
  <c r="G282" i="3"/>
  <c r="G283" i="3"/>
  <c r="G286" i="3"/>
  <c r="G288" i="3"/>
  <c r="G284" i="3"/>
  <c r="G287" i="3"/>
  <c r="G285" i="3"/>
  <c r="G289" i="3"/>
  <c r="G291" i="3"/>
  <c r="G290" i="3"/>
  <c r="G298" i="3"/>
  <c r="G297" i="3"/>
  <c r="G294" i="3"/>
  <c r="G300" i="3"/>
  <c r="G299" i="3"/>
  <c r="G296" i="3"/>
  <c r="G295" i="3"/>
  <c r="G292" i="3"/>
  <c r="G293" i="3"/>
  <c r="G309" i="3"/>
  <c r="G301" i="3"/>
  <c r="G308" i="3"/>
  <c r="G311" i="3"/>
  <c r="G315" i="3"/>
  <c r="G303" i="3"/>
  <c r="G316" i="3"/>
  <c r="G305" i="3"/>
  <c r="G312" i="3"/>
  <c r="G313" i="3"/>
  <c r="G302" i="3"/>
  <c r="G306" i="3"/>
  <c r="G317" i="3"/>
  <c r="G310" i="3"/>
  <c r="G307" i="3"/>
  <c r="G304" i="3"/>
  <c r="G314" i="3"/>
  <c r="G326" i="3"/>
  <c r="G321" i="3"/>
  <c r="G320" i="3"/>
  <c r="G324" i="3"/>
  <c r="G322" i="3"/>
  <c r="G323" i="3"/>
  <c r="G318" i="3"/>
  <c r="G329" i="3"/>
  <c r="G328" i="3"/>
  <c r="G319" i="3"/>
  <c r="G325" i="3"/>
  <c r="G327" i="3"/>
  <c r="G339" i="3"/>
  <c r="G332" i="3"/>
  <c r="G341" i="3"/>
  <c r="G345" i="3"/>
  <c r="G338" i="3"/>
  <c r="G348" i="3"/>
  <c r="G335" i="3"/>
  <c r="G334" i="3"/>
  <c r="G350" i="3"/>
  <c r="G331" i="3"/>
  <c r="G336" i="3"/>
  <c r="G344" i="3"/>
  <c r="G333" i="3"/>
  <c r="G346" i="3"/>
  <c r="G343" i="3"/>
  <c r="G347" i="3"/>
  <c r="G342" i="3"/>
  <c r="G337" i="3"/>
  <c r="G349" i="3"/>
  <c r="G340" i="3"/>
  <c r="G330" i="3"/>
  <c r="G359" i="3"/>
  <c r="G358" i="3"/>
  <c r="G356" i="3"/>
  <c r="G357" i="3"/>
  <c r="G365" i="3"/>
  <c r="G351" i="3"/>
  <c r="G362" i="3"/>
  <c r="G363" i="3"/>
  <c r="G353" i="3"/>
  <c r="G364" i="3"/>
  <c r="G354" i="3"/>
  <c r="G355" i="3"/>
  <c r="G361" i="3"/>
  <c r="G352" i="3"/>
  <c r="G367" i="3"/>
  <c r="G360" i="3"/>
  <c r="G366" i="3"/>
  <c r="G381" i="3"/>
  <c r="G374" i="3"/>
  <c r="G379" i="3"/>
  <c r="G372" i="3"/>
  <c r="G373" i="3"/>
  <c r="G369" i="3"/>
  <c r="G380" i="3"/>
  <c r="G377" i="3"/>
  <c r="G371" i="3"/>
  <c r="G375" i="3"/>
  <c r="G370" i="3"/>
  <c r="G376" i="3"/>
  <c r="G368" i="3"/>
  <c r="G378" i="3"/>
  <c r="G386" i="3"/>
  <c r="G391" i="3"/>
  <c r="G385" i="3"/>
  <c r="G382" i="3"/>
  <c r="G384" i="3"/>
  <c r="G388" i="3"/>
  <c r="G383" i="3"/>
  <c r="G389" i="3"/>
  <c r="G390" i="3"/>
  <c r="G387" i="3"/>
  <c r="G407" i="3"/>
  <c r="G408" i="3"/>
  <c r="G392" i="3"/>
  <c r="G395" i="3"/>
  <c r="G393" i="3"/>
  <c r="G410" i="3"/>
  <c r="G409" i="3"/>
  <c r="G412" i="3"/>
  <c r="G394" i="3"/>
  <c r="G399" i="3"/>
  <c r="G404" i="3"/>
  <c r="G401" i="3"/>
  <c r="G398" i="3"/>
  <c r="G402" i="3"/>
  <c r="G403" i="3"/>
  <c r="G411" i="3"/>
  <c r="G397" i="3"/>
  <c r="G400" i="3"/>
  <c r="G396" i="3"/>
  <c r="G413" i="3"/>
  <c r="G406" i="3"/>
  <c r="G405" i="3"/>
  <c r="G414" i="3"/>
  <c r="G423" i="3"/>
  <c r="G418" i="3"/>
  <c r="G416" i="3"/>
  <c r="G430" i="3"/>
  <c r="G419" i="3"/>
  <c r="G420" i="3"/>
  <c r="G421" i="3"/>
  <c r="G424" i="3"/>
  <c r="G422" i="3"/>
  <c r="G417" i="3"/>
  <c r="G425" i="3"/>
  <c r="G427" i="3"/>
  <c r="G426" i="3"/>
  <c r="G415" i="3"/>
  <c r="G429" i="3"/>
  <c r="G428" i="3"/>
  <c r="G443" i="3"/>
  <c r="G436" i="3"/>
  <c r="G431" i="3"/>
  <c r="G438" i="3"/>
  <c r="G441" i="3"/>
  <c r="G433" i="3"/>
  <c r="G439" i="3"/>
  <c r="G440" i="3"/>
  <c r="G442" i="3"/>
  <c r="G432" i="3"/>
  <c r="G434" i="3"/>
  <c r="G435" i="3"/>
  <c r="G437" i="3"/>
  <c r="G457" i="3"/>
  <c r="G451" i="3"/>
  <c r="G453" i="3"/>
  <c r="G454" i="3"/>
  <c r="G447" i="3"/>
  <c r="G449" i="3"/>
  <c r="G446" i="3"/>
  <c r="G448" i="3"/>
  <c r="G456" i="3"/>
  <c r="G445" i="3"/>
  <c r="G450" i="3"/>
  <c r="G452" i="3"/>
  <c r="G444" i="3"/>
  <c r="G455" i="3"/>
  <c r="G471" i="3"/>
  <c r="G458" i="3"/>
  <c r="G466" i="3"/>
  <c r="G467" i="3"/>
  <c r="G462" i="3"/>
  <c r="G460" i="3"/>
  <c r="G465" i="3"/>
  <c r="G463" i="3"/>
  <c r="G470" i="3"/>
  <c r="G464" i="3"/>
  <c r="G461" i="3"/>
  <c r="G459" i="3"/>
  <c r="G468" i="3"/>
  <c r="G469" i="3"/>
  <c r="G479" i="3"/>
  <c r="G475" i="3"/>
  <c r="G476" i="3"/>
  <c r="G477" i="3"/>
  <c r="G473" i="3"/>
  <c r="G474" i="3"/>
  <c r="G472" i="3"/>
  <c r="G478" i="3"/>
  <c r="G485" i="3"/>
  <c r="G481" i="3"/>
  <c r="G480" i="3"/>
  <c r="G483" i="3"/>
  <c r="G482" i="3"/>
  <c r="G484" i="3"/>
  <c r="G492" i="3"/>
  <c r="G486" i="3"/>
  <c r="G488" i="3"/>
  <c r="G490" i="3"/>
  <c r="G487" i="3"/>
  <c r="G491" i="3"/>
  <c r="G489" i="3"/>
  <c r="G494" i="3"/>
  <c r="G501" i="3"/>
  <c r="G507" i="3"/>
  <c r="G506" i="3"/>
  <c r="G497" i="3"/>
  <c r="G505" i="3"/>
  <c r="G495" i="3"/>
  <c r="G496" i="3"/>
  <c r="G499" i="3"/>
  <c r="G500" i="3"/>
  <c r="G502" i="3"/>
  <c r="G504" i="3"/>
  <c r="G503" i="3"/>
  <c r="G508" i="3"/>
  <c r="G493" i="3"/>
  <c r="G498" i="3"/>
  <c r="G517" i="3"/>
  <c r="G509" i="3"/>
  <c r="G515" i="3"/>
  <c r="G510" i="3"/>
  <c r="G511" i="3"/>
  <c r="G513" i="3"/>
  <c r="G514" i="3"/>
  <c r="G512" i="3"/>
  <c r="G516" i="3"/>
  <c r="G535" i="3"/>
  <c r="G524" i="3"/>
  <c r="G522" i="3"/>
  <c r="G528" i="3"/>
  <c r="G530" i="3"/>
  <c r="G526" i="3"/>
  <c r="G531" i="3"/>
  <c r="G533" i="3"/>
  <c r="G523" i="3"/>
  <c r="G527" i="3"/>
  <c r="G525" i="3"/>
  <c r="G529" i="3"/>
  <c r="G520" i="3"/>
  <c r="G519" i="3"/>
  <c r="G532" i="3"/>
  <c r="G521" i="3"/>
  <c r="G534" i="3"/>
  <c r="G518" i="3"/>
  <c r="G553" i="3"/>
  <c r="G546" i="3"/>
  <c r="G538" i="3"/>
  <c r="G547" i="3"/>
  <c r="G542" i="3"/>
  <c r="G544" i="3"/>
  <c r="G551" i="3"/>
  <c r="G548" i="3"/>
  <c r="G537" i="3"/>
  <c r="G543" i="3"/>
  <c r="G539" i="3"/>
  <c r="G552" i="3"/>
  <c r="G549" i="3"/>
  <c r="G550" i="3"/>
  <c r="G541" i="3"/>
  <c r="G545" i="3"/>
  <c r="G536" i="3"/>
  <c r="G540" i="3"/>
  <c r="G565" i="3"/>
  <c r="G562" i="3"/>
  <c r="G557" i="3"/>
  <c r="G554" i="3"/>
  <c r="G558" i="3"/>
  <c r="G560" i="3"/>
  <c r="G564" i="3"/>
  <c r="G561" i="3"/>
  <c r="G563" i="3"/>
  <c r="G559" i="3"/>
  <c r="G556" i="3"/>
  <c r="G555" i="3"/>
  <c r="G566" i="3"/>
  <c r="G580" i="3"/>
  <c r="G578" i="3"/>
  <c r="G579" i="3"/>
  <c r="G567" i="3"/>
  <c r="G574" i="3"/>
  <c r="G575" i="3"/>
  <c r="G569" i="3"/>
  <c r="G576" i="3"/>
  <c r="G577" i="3"/>
  <c r="G573" i="3"/>
  <c r="G570" i="3"/>
  <c r="G572" i="3"/>
  <c r="G571" i="3"/>
  <c r="G568" i="3"/>
  <c r="G581" i="3"/>
  <c r="G594" i="3"/>
  <c r="G583" i="3"/>
  <c r="G582" i="3"/>
  <c r="G592" i="3"/>
  <c r="G591" i="3"/>
  <c r="G589" i="3"/>
  <c r="G593" i="3"/>
  <c r="G587" i="3"/>
  <c r="G585" i="3"/>
  <c r="G586" i="3"/>
  <c r="G588" i="3"/>
  <c r="G590" i="3"/>
  <c r="G584" i="3"/>
  <c r="G601" i="3"/>
  <c r="G602" i="3"/>
  <c r="G595" i="3"/>
  <c r="G605" i="3"/>
  <c r="G604" i="3"/>
  <c r="G597" i="3"/>
  <c r="G598" i="3"/>
  <c r="G599" i="3"/>
  <c r="G596" i="3"/>
  <c r="G603" i="3"/>
  <c r="G600" i="3"/>
  <c r="G606" i="3"/>
  <c r="G608" i="3"/>
  <c r="G607" i="3"/>
  <c r="G609" i="3"/>
  <c r="G611" i="3"/>
  <c r="G618" i="3"/>
  <c r="G622" i="3"/>
  <c r="G612" i="3"/>
  <c r="G628" i="3"/>
  <c r="G619" i="3"/>
  <c r="G632" i="3"/>
  <c r="G634" i="3"/>
  <c r="G616" i="3"/>
  <c r="G610" i="3"/>
  <c r="G633" i="3"/>
  <c r="G635" i="3"/>
  <c r="G631" i="3"/>
  <c r="G613" i="3"/>
  <c r="G624" i="3"/>
  <c r="G614" i="3"/>
  <c r="G617" i="3"/>
  <c r="G621" i="3"/>
  <c r="G625" i="3"/>
  <c r="G615" i="3"/>
  <c r="G623" i="3"/>
  <c r="G626" i="3"/>
  <c r="G627" i="3"/>
  <c r="G630" i="3"/>
  <c r="G636" i="3"/>
  <c r="G637" i="3"/>
  <c r="G620" i="3"/>
  <c r="G629" i="3"/>
  <c r="G641" i="3"/>
  <c r="G642" i="3"/>
  <c r="G640" i="3"/>
  <c r="G639" i="3"/>
  <c r="G638" i="3"/>
  <c r="G643" i="3"/>
  <c r="G645" i="3"/>
  <c r="G646" i="3"/>
  <c r="G648" i="3"/>
  <c r="G644" i="3"/>
  <c r="G647" i="3"/>
  <c r="G654" i="3"/>
  <c r="G652" i="3"/>
  <c r="G657" i="3"/>
  <c r="G656" i="3"/>
  <c r="G655" i="3"/>
  <c r="G651" i="3"/>
  <c r="G649" i="3"/>
  <c r="G650" i="3"/>
  <c r="G653" i="3"/>
  <c r="G677" i="3"/>
  <c r="G678" i="3"/>
  <c r="G668" i="3"/>
  <c r="G676" i="3"/>
  <c r="G674" i="3"/>
  <c r="G670" i="3"/>
  <c r="G672" i="3"/>
  <c r="G673" i="3"/>
  <c r="G675" i="3"/>
  <c r="G658" i="3"/>
  <c r="G671" i="3"/>
  <c r="G659" i="3"/>
  <c r="G660" i="3"/>
  <c r="G661" i="3"/>
  <c r="G662" i="3"/>
  <c r="G669" i="3"/>
  <c r="G663" i="3"/>
  <c r="G664" i="3"/>
  <c r="G665" i="3"/>
  <c r="G666" i="3"/>
  <c r="G667" i="3"/>
  <c r="G687" i="3"/>
  <c r="G679" i="3"/>
  <c r="G686" i="3"/>
  <c r="G681" i="3"/>
  <c r="G682" i="3"/>
  <c r="G688" i="3"/>
  <c r="G685" i="3"/>
  <c r="G680" i="3"/>
  <c r="G689" i="3"/>
  <c r="G683" i="3"/>
  <c r="G684" i="3"/>
  <c r="G693" i="3"/>
  <c r="G700" i="3"/>
  <c r="G695" i="3"/>
  <c r="G694" i="3"/>
  <c r="G690" i="3"/>
  <c r="G696" i="3"/>
  <c r="G692" i="3"/>
  <c r="G691" i="3"/>
  <c r="G698" i="3"/>
  <c r="G699" i="3"/>
  <c r="G697" i="3"/>
  <c r="G703" i="3"/>
  <c r="G702" i="3"/>
  <c r="G701" i="3"/>
  <c r="G708" i="3"/>
  <c r="G707" i="3"/>
  <c r="G706" i="3"/>
  <c r="G704" i="3"/>
  <c r="G705" i="3"/>
  <c r="G711" i="3"/>
  <c r="G713" i="3"/>
  <c r="G714" i="3"/>
  <c r="G712" i="3"/>
  <c r="G709" i="3"/>
  <c r="G710" i="3"/>
  <c r="G715" i="3"/>
  <c r="G721" i="3"/>
  <c r="G722" i="3"/>
  <c r="G718" i="3"/>
  <c r="G717" i="3"/>
  <c r="G716" i="3"/>
  <c r="G724" i="3"/>
  <c r="G723" i="3"/>
  <c r="G720" i="3"/>
  <c r="G727" i="3"/>
  <c r="G725" i="3"/>
  <c r="G719" i="3"/>
  <c r="G729" i="3"/>
  <c r="G726" i="3"/>
  <c r="G730" i="3"/>
  <c r="G728" i="3"/>
  <c r="G750" i="3"/>
  <c r="G736" i="3"/>
  <c r="G748" i="3"/>
  <c r="G733" i="3"/>
  <c r="G749" i="3"/>
  <c r="G751" i="3"/>
  <c r="G737" i="3"/>
  <c r="G738" i="3"/>
  <c r="G734" i="3"/>
  <c r="G735" i="3"/>
  <c r="G739" i="3"/>
  <c r="G731" i="3"/>
  <c r="G732" i="3"/>
  <c r="G744" i="3"/>
  <c r="G745" i="3"/>
  <c r="G743" i="3"/>
  <c r="G740" i="3"/>
  <c r="G747" i="3"/>
  <c r="G746" i="3"/>
  <c r="G741" i="3"/>
  <c r="G742" i="3"/>
  <c r="G759" i="3"/>
  <c r="G762" i="3"/>
  <c r="G756" i="3"/>
  <c r="G758" i="3"/>
  <c r="G760" i="3"/>
  <c r="G763" i="3"/>
  <c r="G764" i="3"/>
  <c r="G755" i="3"/>
  <c r="G757" i="3"/>
  <c r="G752" i="3"/>
  <c r="G761" i="3"/>
  <c r="G753" i="3"/>
  <c r="G754" i="3"/>
  <c r="G769" i="3"/>
  <c r="G767" i="3"/>
  <c r="G768" i="3"/>
  <c r="G765" i="3"/>
  <c r="G766" i="3"/>
  <c r="G770" i="3"/>
  <c r="G771" i="3"/>
  <c r="G772" i="3"/>
  <c r="G775" i="3"/>
  <c r="G776" i="3"/>
  <c r="G777" i="3"/>
  <c r="G778" i="3"/>
  <c r="G773" i="3"/>
  <c r="G774" i="3"/>
  <c r="G786" i="3"/>
  <c r="G783" i="3"/>
  <c r="G784" i="3"/>
  <c r="G785" i="3"/>
  <c r="G779" i="3"/>
  <c r="G781" i="3"/>
  <c r="G782" i="3"/>
  <c r="G780" i="3"/>
  <c r="G787" i="3"/>
  <c r="G791" i="3"/>
  <c r="G790" i="3"/>
  <c r="G793" i="3"/>
  <c r="G788" i="3"/>
  <c r="G792" i="3"/>
  <c r="G796" i="3"/>
  <c r="G789" i="3"/>
  <c r="G795" i="3"/>
  <c r="G794" i="3"/>
  <c r="G800" i="3"/>
  <c r="G798" i="3"/>
  <c r="G799" i="3"/>
  <c r="G801" i="3"/>
  <c r="G802" i="3"/>
  <c r="G797" i="3"/>
  <c r="G804" i="3"/>
  <c r="G810" i="3"/>
  <c r="G809" i="3"/>
  <c r="G811" i="3"/>
  <c r="G808" i="3"/>
  <c r="G805" i="3"/>
  <c r="G803" i="3"/>
  <c r="G813" i="3"/>
  <c r="G807" i="3"/>
  <c r="G812" i="3"/>
  <c r="G806" i="3"/>
  <c r="G814" i="3"/>
  <c r="G819" i="3"/>
  <c r="G821" i="3"/>
  <c r="G815" i="3"/>
  <c r="G817" i="3"/>
  <c r="G820" i="3"/>
  <c r="G818" i="3"/>
  <c r="G816" i="3"/>
  <c r="G822" i="3"/>
  <c r="G823" i="3"/>
  <c r="G824" i="3"/>
  <c r="G832" i="3"/>
  <c r="G831" i="3"/>
  <c r="G828" i="3"/>
  <c r="G835" i="3"/>
  <c r="G833" i="3"/>
  <c r="G830" i="3"/>
  <c r="G827" i="3"/>
  <c r="G834" i="3"/>
  <c r="G826" i="3"/>
  <c r="G825" i="3"/>
  <c r="G829" i="3"/>
  <c r="G836" i="3"/>
  <c r="G837" i="3"/>
  <c r="G841" i="3"/>
  <c r="G838" i="3"/>
  <c r="G839" i="3"/>
  <c r="G840" i="3"/>
  <c r="G850" i="3"/>
  <c r="G851" i="3"/>
  <c r="G847" i="3"/>
  <c r="G849" i="3"/>
  <c r="G845" i="3"/>
  <c r="G846" i="3"/>
  <c r="G855" i="3"/>
  <c r="G858" i="3"/>
  <c r="G848" i="3"/>
  <c r="G842" i="3"/>
  <c r="G852" i="3"/>
  <c r="G861" i="3"/>
  <c r="G859" i="3"/>
  <c r="G854" i="3"/>
  <c r="G843" i="3"/>
  <c r="G844" i="3"/>
  <c r="G853" i="3"/>
  <c r="G857" i="3"/>
  <c r="G860" i="3"/>
  <c r="G856" i="3"/>
  <c r="G869" i="3"/>
  <c r="G863" i="3"/>
  <c r="G866" i="3"/>
  <c r="G864" i="3"/>
  <c r="G868" i="3"/>
  <c r="G865" i="3"/>
  <c r="G867" i="3"/>
  <c r="G862" i="3"/>
  <c r="G871" i="3"/>
  <c r="G870" i="3"/>
  <c r="G876" i="3"/>
  <c r="G875" i="3"/>
  <c r="G881" i="3"/>
  <c r="G888" i="3"/>
  <c r="G878" i="3"/>
  <c r="G879" i="3"/>
  <c r="G874" i="3"/>
  <c r="G873" i="3"/>
  <c r="G877" i="3"/>
  <c r="G884" i="3"/>
  <c r="G882" i="3"/>
  <c r="G872" i="3"/>
  <c r="G880" i="3"/>
  <c r="G887" i="3"/>
  <c r="G886" i="3"/>
  <c r="G885" i="3"/>
  <c r="G883" i="3"/>
  <c r="G889" i="3"/>
  <c r="G891" i="3"/>
  <c r="G890" i="3"/>
  <c r="G893" i="3"/>
  <c r="G892" i="3"/>
  <c r="G896" i="3"/>
  <c r="G895" i="3"/>
  <c r="G899" i="3"/>
  <c r="G897" i="3"/>
  <c r="G898" i="3"/>
  <c r="G894" i="3"/>
  <c r="G913" i="3"/>
  <c r="G912" i="3"/>
  <c r="G918" i="3"/>
  <c r="G917" i="3"/>
  <c r="G919" i="3"/>
  <c r="G906" i="3"/>
  <c r="G907" i="3"/>
  <c r="G909" i="3"/>
  <c r="G916" i="3"/>
  <c r="G911" i="3"/>
  <c r="G902" i="3"/>
  <c r="G901" i="3"/>
  <c r="G903" i="3"/>
  <c r="G910" i="3"/>
  <c r="G905" i="3"/>
  <c r="G908" i="3"/>
  <c r="G904" i="3"/>
  <c r="G915" i="3"/>
  <c r="G914" i="3"/>
  <c r="G900" i="3"/>
  <c r="G947" i="3"/>
  <c r="G944" i="3"/>
  <c r="G942" i="3"/>
  <c r="G937" i="3"/>
  <c r="G939" i="3"/>
  <c r="G933" i="3"/>
  <c r="G935" i="3"/>
  <c r="G941" i="3"/>
  <c r="G945" i="3"/>
  <c r="G940" i="3"/>
  <c r="G938" i="3"/>
  <c r="G936" i="3"/>
  <c r="G946" i="3"/>
  <c r="G934" i="3"/>
  <c r="G943" i="3"/>
  <c r="G931" i="3"/>
  <c r="G929" i="3"/>
  <c r="G930" i="3"/>
  <c r="G932" i="3"/>
  <c r="G926" i="3"/>
  <c r="G922" i="3"/>
  <c r="G923" i="3"/>
  <c r="G925" i="3"/>
  <c r="G928" i="3"/>
  <c r="G921" i="3"/>
  <c r="G920" i="3"/>
  <c r="G927" i="3"/>
  <c r="G924" i="3"/>
  <c r="G960" i="3"/>
  <c r="G958" i="3"/>
  <c r="G962" i="3"/>
  <c r="G953" i="3"/>
  <c r="G956" i="3"/>
  <c r="G950" i="3"/>
  <c r="G959" i="3"/>
  <c r="G957" i="3"/>
  <c r="G955" i="3"/>
  <c r="G952" i="3"/>
  <c r="G948" i="3"/>
  <c r="G951" i="3"/>
  <c r="G954" i="3"/>
  <c r="G961" i="3"/>
  <c r="G949" i="3"/>
  <c r="G963" i="3"/>
  <c r="G969" i="3"/>
  <c r="G977" i="3"/>
  <c r="G971" i="3"/>
  <c r="G973" i="3"/>
  <c r="G967" i="3"/>
  <c r="G975" i="3"/>
  <c r="G964" i="3"/>
  <c r="G965" i="3"/>
  <c r="G974" i="3"/>
  <c r="G976" i="3"/>
  <c r="G978" i="3"/>
  <c r="G968" i="3"/>
  <c r="G966" i="3"/>
  <c r="G970" i="3"/>
  <c r="G972" i="3"/>
  <c r="G982" i="3"/>
  <c r="G980" i="3"/>
  <c r="G983" i="3"/>
  <c r="G981" i="3"/>
  <c r="G984" i="3"/>
  <c r="G979" i="3"/>
  <c r="G986" i="3"/>
  <c r="G985" i="3"/>
  <c r="G988" i="3"/>
  <c r="G990" i="3"/>
  <c r="G998" i="3"/>
  <c r="G997" i="3"/>
  <c r="G993" i="3"/>
  <c r="G992" i="3"/>
  <c r="G989" i="3"/>
  <c r="G991" i="3"/>
  <c r="G995" i="3"/>
  <c r="G994" i="3"/>
  <c r="G987" i="3"/>
  <c r="G996" i="3"/>
  <c r="G1004" i="3"/>
  <c r="G1000" i="3"/>
  <c r="G1003" i="3"/>
  <c r="G999" i="3"/>
  <c r="G1002" i="3"/>
  <c r="G1008" i="3"/>
  <c r="G1007" i="3"/>
  <c r="G1009" i="3"/>
  <c r="G1005" i="3"/>
  <c r="G1010" i="3"/>
  <c r="G1001" i="3"/>
  <c r="G1006" i="3"/>
  <c r="G1019" i="3"/>
  <c r="G1024" i="3"/>
  <c r="G1023" i="3"/>
  <c r="G1018" i="3"/>
  <c r="G1027" i="3"/>
  <c r="G1028" i="3"/>
  <c r="G1013" i="3"/>
  <c r="G1015" i="3"/>
  <c r="G1017" i="3"/>
  <c r="G1025" i="3"/>
  <c r="G1026" i="3"/>
  <c r="G1014" i="3"/>
  <c r="G1022" i="3"/>
  <c r="G1016" i="3"/>
  <c r="G1020" i="3"/>
  <c r="G1011" i="3"/>
  <c r="G1021" i="3"/>
  <c r="G1012" i="3"/>
  <c r="G1030" i="3"/>
  <c r="G1029" i="3"/>
  <c r="G1048" i="3"/>
  <c r="G1031" i="3"/>
  <c r="G1037" i="3"/>
  <c r="G1039" i="3"/>
  <c r="G1040" i="3"/>
  <c r="G1043" i="3"/>
  <c r="G1047" i="3"/>
  <c r="G1051" i="3"/>
  <c r="G1052" i="3"/>
  <c r="G1034" i="3"/>
  <c r="G1046" i="3"/>
  <c r="G1041" i="3"/>
  <c r="G1049" i="3"/>
  <c r="G1053" i="3"/>
  <c r="G1054" i="3"/>
  <c r="G1036" i="3"/>
  <c r="G1045" i="3"/>
  <c r="G1050" i="3"/>
  <c r="G1042" i="3"/>
  <c r="G1032" i="3"/>
  <c r="G1038" i="3"/>
  <c r="G1044" i="3"/>
  <c r="G1033" i="3"/>
  <c r="G1035" i="3"/>
  <c r="G1058" i="3"/>
  <c r="G1070" i="3"/>
  <c r="G1065" i="3"/>
  <c r="G1067" i="3"/>
  <c r="G1068" i="3"/>
  <c r="G1069" i="3"/>
  <c r="G1061" i="3"/>
  <c r="G1055" i="3"/>
  <c r="G1057" i="3"/>
  <c r="G1060" i="3"/>
  <c r="G1063" i="3"/>
  <c r="G1066" i="3"/>
  <c r="G1062" i="3"/>
  <c r="G1064" i="3"/>
  <c r="G1059" i="3"/>
  <c r="G1056" i="3"/>
  <c r="G1079" i="3"/>
  <c r="G1081" i="3"/>
  <c r="G1073" i="3"/>
  <c r="G1082" i="3"/>
  <c r="G1074" i="3"/>
  <c r="G1083" i="3"/>
  <c r="G1078" i="3"/>
  <c r="G1084" i="3"/>
  <c r="G1075" i="3"/>
  <c r="G1088" i="3"/>
  <c r="G1085" i="3"/>
  <c r="G1087" i="3"/>
  <c r="G1077" i="3"/>
  <c r="G1080" i="3"/>
  <c r="G1072" i="3"/>
  <c r="G1089" i="3"/>
  <c r="G1086" i="3"/>
  <c r="G1076" i="3"/>
  <c r="G1071" i="3"/>
  <c r="G1090" i="3"/>
  <c r="G1111" i="3"/>
  <c r="G1106" i="3"/>
  <c r="G1112" i="3"/>
  <c r="G1120" i="3"/>
  <c r="G1103" i="3"/>
  <c r="G1116" i="3"/>
  <c r="G1121" i="3"/>
  <c r="G1118" i="3"/>
  <c r="G1102" i="3"/>
  <c r="G1119" i="3"/>
  <c r="G1114" i="3"/>
  <c r="G1107" i="3"/>
  <c r="G1113" i="3"/>
  <c r="G1110" i="3"/>
  <c r="G1115" i="3"/>
  <c r="G1117" i="3"/>
  <c r="G1105" i="3"/>
  <c r="G1091" i="3"/>
  <c r="G1108" i="3"/>
  <c r="G1104" i="3"/>
  <c r="G1109" i="3"/>
  <c r="G1092" i="3"/>
  <c r="G1093" i="3"/>
  <c r="G1094" i="3"/>
  <c r="G1095" i="3"/>
  <c r="G1096" i="3"/>
  <c r="G1097" i="3"/>
  <c r="G1098" i="3"/>
  <c r="G1099" i="3"/>
  <c r="G1100" i="3"/>
  <c r="G1101" i="3"/>
  <c r="G1127" i="3"/>
  <c r="G1124" i="3"/>
  <c r="G1125" i="3"/>
  <c r="G1128" i="3"/>
  <c r="G1129" i="3"/>
  <c r="G1123" i="3"/>
  <c r="G1126" i="3"/>
  <c r="G1130" i="3"/>
  <c r="G1131" i="3"/>
  <c r="G1122" i="3"/>
  <c r="G1132" i="3"/>
  <c r="G1136" i="3"/>
  <c r="G1139" i="3"/>
  <c r="G1144" i="3"/>
  <c r="G1135" i="3"/>
  <c r="G1140" i="3"/>
  <c r="G1142" i="3"/>
  <c r="G1138" i="3"/>
  <c r="G1137" i="3"/>
  <c r="G1147" i="3"/>
  <c r="G1149" i="3"/>
  <c r="G1143" i="3"/>
  <c r="G1145" i="3"/>
  <c r="G1150" i="3"/>
  <c r="G1134" i="3"/>
  <c r="G1148" i="3"/>
  <c r="G1146" i="3"/>
  <c r="G1151" i="3"/>
  <c r="G1133" i="3"/>
  <c r="G1141" i="3"/>
  <c r="G1166" i="3"/>
  <c r="G1154" i="3"/>
  <c r="G1169" i="3"/>
  <c r="G1164" i="3"/>
  <c r="G1170" i="3"/>
  <c r="G1152" i="3"/>
  <c r="G1165" i="3"/>
  <c r="G1156" i="3"/>
  <c r="G1155" i="3"/>
  <c r="G1153" i="3"/>
  <c r="G1167" i="3"/>
  <c r="G1162" i="3"/>
  <c r="G1163" i="3"/>
  <c r="G1157" i="3"/>
  <c r="G1160" i="3"/>
  <c r="G1168" i="3"/>
  <c r="G1171" i="3"/>
  <c r="G1161" i="3"/>
  <c r="G1158" i="3"/>
  <c r="G1159" i="3"/>
  <c r="G1180" i="3"/>
  <c r="G1183" i="3"/>
  <c r="G1172" i="3"/>
  <c r="G1182" i="3"/>
  <c r="G1179" i="3"/>
  <c r="G1175" i="3"/>
  <c r="G1177" i="3"/>
  <c r="G1173" i="3"/>
  <c r="G1178" i="3"/>
  <c r="G1181" i="3"/>
  <c r="G1176" i="3"/>
  <c r="G1174" i="3"/>
  <c r="G1184" i="3"/>
  <c r="G1193" i="3"/>
  <c r="G1194" i="3"/>
  <c r="G1192" i="3"/>
  <c r="G1195" i="3"/>
  <c r="G1185" i="3"/>
  <c r="G1196" i="3"/>
  <c r="G1190" i="3"/>
  <c r="G1191" i="3"/>
  <c r="G1187" i="3"/>
  <c r="G1186" i="3"/>
  <c r="G1189" i="3"/>
  <c r="G1188" i="3"/>
  <c r="G1208" i="3"/>
  <c r="G1198" i="3"/>
  <c r="G1209" i="3"/>
  <c r="G1199" i="3"/>
  <c r="G1202" i="3"/>
  <c r="G1203" i="3"/>
  <c r="G1207" i="3"/>
  <c r="G1197" i="3"/>
  <c r="G1211" i="3"/>
  <c r="G1200" i="3"/>
  <c r="G1206" i="3"/>
  <c r="G1204" i="3"/>
  <c r="G1201" i="3"/>
  <c r="G1210" i="3"/>
  <c r="G1212" i="3"/>
  <c r="G1205" i="3"/>
  <c r="G1214" i="3"/>
  <c r="G1213" i="3"/>
  <c r="G1222" i="3"/>
  <c r="G1225" i="3"/>
  <c r="G1226" i="3"/>
  <c r="G1227" i="3"/>
  <c r="G1218" i="3"/>
  <c r="G1224" i="3"/>
  <c r="G1215" i="3"/>
  <c r="G1219" i="3"/>
  <c r="G1223" i="3"/>
  <c r="G1228" i="3"/>
  <c r="G1217" i="3"/>
  <c r="G1221" i="3"/>
  <c r="G1216" i="3"/>
  <c r="G1220" i="3"/>
  <c r="G1232" i="3"/>
  <c r="G1229" i="3"/>
  <c r="G1231" i="3"/>
  <c r="G1230" i="3"/>
  <c r="G1240" i="3"/>
  <c r="G1237" i="3"/>
  <c r="G1238" i="3"/>
  <c r="G1234" i="3"/>
  <c r="G1236" i="3"/>
  <c r="G1235" i="3"/>
  <c r="G1233" i="3"/>
  <c r="G1239" i="3"/>
  <c r="G1242" i="3"/>
  <c r="G1259" i="3"/>
  <c r="G1260" i="3"/>
  <c r="G1249" i="3"/>
  <c r="G1241" i="3"/>
  <c r="G1247" i="3"/>
  <c r="G1254" i="3"/>
  <c r="G1244" i="3"/>
  <c r="G1245" i="3"/>
  <c r="G1246" i="3"/>
  <c r="G1252" i="3"/>
  <c r="G1250" i="3"/>
  <c r="G1253" i="3"/>
  <c r="G1258" i="3"/>
  <c r="G1251" i="3"/>
  <c r="G1256" i="3"/>
  <c r="G1248" i="3"/>
  <c r="G1255" i="3"/>
  <c r="G1257" i="3"/>
  <c r="G1243" i="3"/>
  <c r="G1268" i="3"/>
  <c r="G1266" i="3"/>
  <c r="G1267" i="3"/>
  <c r="G1262" i="3"/>
  <c r="G1261" i="3"/>
  <c r="G1264" i="3"/>
  <c r="G1265" i="3"/>
  <c r="G1263" i="3"/>
  <c r="G1269" i="3"/>
  <c r="G1272" i="3"/>
  <c r="G1271" i="3"/>
  <c r="G1270" i="3"/>
  <c r="G1274" i="3"/>
  <c r="G1273" i="3"/>
  <c r="G1275" i="3"/>
  <c r="G1276" i="3"/>
  <c r="G1278" i="3"/>
  <c r="G1277" i="3"/>
  <c r="G1279" i="3"/>
  <c r="G1280" i="3"/>
  <c r="G1288" i="3"/>
  <c r="G1290" i="3"/>
  <c r="G1284" i="3"/>
  <c r="G1296" i="3"/>
  <c r="G1282" i="3"/>
  <c r="G1298" i="3"/>
  <c r="G1286" i="3"/>
  <c r="G1292" i="3"/>
  <c r="G1294" i="3"/>
  <c r="G1283" i="3"/>
  <c r="G1300" i="3"/>
  <c r="G1291" i="3"/>
  <c r="G1289" i="3"/>
  <c r="G1281" i="3"/>
  <c r="G1287" i="3"/>
  <c r="G1299" i="3"/>
  <c r="G1295" i="3"/>
  <c r="G1293" i="3"/>
  <c r="G1297" i="3"/>
  <c r="G1285" i="3"/>
  <c r="G1310" i="3"/>
  <c r="G1309" i="3"/>
  <c r="G1302" i="3"/>
  <c r="G1306" i="3"/>
  <c r="G1307" i="3"/>
  <c r="G1305" i="3"/>
  <c r="G1301" i="3"/>
  <c r="G1303" i="3"/>
  <c r="G1304" i="3"/>
  <c r="G1308" i="3"/>
  <c r="G1313" i="3"/>
  <c r="G1318" i="3"/>
  <c r="G1314" i="3"/>
  <c r="G1319" i="3"/>
  <c r="G1311" i="3"/>
  <c r="G1312" i="3"/>
  <c r="G1316" i="3"/>
  <c r="G1315" i="3"/>
  <c r="G1317" i="3"/>
  <c r="G1320" i="3"/>
  <c r="G1328" i="3"/>
  <c r="G1334" i="3"/>
  <c r="G1322" i="3"/>
  <c r="G1327" i="3"/>
  <c r="G1333" i="3"/>
  <c r="G1321" i="3"/>
  <c r="G1325" i="3"/>
  <c r="G1326" i="3"/>
  <c r="G1330" i="3"/>
  <c r="G1329" i="3"/>
  <c r="G1332" i="3"/>
  <c r="G1331" i="3"/>
  <c r="G1323" i="3"/>
  <c r="G1324" i="3"/>
  <c r="G1341" i="3"/>
  <c r="G1335" i="3"/>
  <c r="G1340" i="3"/>
  <c r="G1339" i="3"/>
  <c r="G1337" i="3"/>
  <c r="G1338" i="3"/>
  <c r="G1336" i="3"/>
  <c r="G1342" i="3"/>
  <c r="G1343" i="3"/>
  <c r="G1344" i="3"/>
  <c r="G1349" i="3"/>
  <c r="G1345" i="3"/>
  <c r="G1360" i="3"/>
  <c r="G1348" i="3"/>
  <c r="G1352" i="3"/>
  <c r="G1346" i="3"/>
  <c r="G1357" i="3"/>
  <c r="G1351" i="3"/>
  <c r="G1359" i="3"/>
  <c r="G1355" i="3"/>
  <c r="G1354" i="3"/>
  <c r="G1356" i="3"/>
  <c r="G1358" i="3"/>
  <c r="G1362" i="3"/>
  <c r="G1350" i="3"/>
  <c r="G1347" i="3"/>
  <c r="G1361" i="3"/>
  <c r="G1353" i="3"/>
  <c r="G1377" i="3"/>
  <c r="G1379" i="3"/>
  <c r="G1371" i="3"/>
  <c r="G1374" i="3"/>
  <c r="G1364" i="3"/>
  <c r="G1376" i="3"/>
  <c r="G1365" i="3"/>
  <c r="G1378" i="3"/>
  <c r="G1370" i="3"/>
  <c r="G1375" i="3"/>
  <c r="G1380" i="3"/>
  <c r="G1368" i="3"/>
  <c r="G1363" i="3"/>
  <c r="G1367" i="3"/>
  <c r="G1372" i="3"/>
  <c r="G1373" i="3"/>
  <c r="G1366" i="3"/>
  <c r="G1369" i="3"/>
  <c r="G1382" i="3"/>
  <c r="G1383" i="3"/>
  <c r="G1397" i="3"/>
  <c r="G1381" i="3"/>
  <c r="G1388" i="3"/>
  <c r="G1384" i="3"/>
  <c r="G1392" i="3"/>
  <c r="G1395" i="3"/>
  <c r="G1394" i="3"/>
  <c r="G1386" i="3"/>
  <c r="G1387" i="3"/>
  <c r="G1398" i="3"/>
  <c r="G1393" i="3"/>
  <c r="G1396" i="3"/>
  <c r="G1390" i="3"/>
  <c r="G1391" i="3"/>
  <c r="G1399" i="3"/>
  <c r="G1385" i="3"/>
  <c r="G1389" i="3"/>
  <c r="G1400" i="3"/>
  <c r="G1401" i="3"/>
  <c r="G1404" i="3"/>
  <c r="G1410" i="3"/>
  <c r="G1407" i="3"/>
  <c r="G1402" i="3"/>
  <c r="G1412" i="3"/>
  <c r="G1411" i="3"/>
  <c r="G1409" i="3"/>
  <c r="G1405" i="3"/>
  <c r="G1408" i="3"/>
  <c r="G1403" i="3"/>
  <c r="G1406" i="3"/>
  <c r="G1432" i="3"/>
  <c r="G1417" i="3"/>
  <c r="G1429" i="3"/>
  <c r="G1415" i="3"/>
  <c r="G1428" i="3"/>
  <c r="G1424" i="3"/>
  <c r="G1414" i="3"/>
  <c r="G1423" i="3"/>
  <c r="G1427" i="3"/>
  <c r="G1431" i="3"/>
  <c r="G1418" i="3"/>
  <c r="G1416" i="3"/>
  <c r="G1413" i="3"/>
  <c r="G1422" i="3"/>
  <c r="G1419" i="3"/>
  <c r="G1430" i="3"/>
  <c r="G1420" i="3"/>
  <c r="G1421" i="3"/>
  <c r="G1425" i="3"/>
  <c r="G1426" i="3"/>
  <c r="G1433" i="3"/>
  <c r="G1435" i="3"/>
  <c r="G1434" i="3"/>
  <c r="G1442" i="3"/>
  <c r="G1438" i="3"/>
  <c r="G1437" i="3"/>
  <c r="G1440" i="3"/>
  <c r="G1439" i="3"/>
  <c r="G1436" i="3"/>
  <c r="G1441" i="3"/>
  <c r="G1467" i="3"/>
  <c r="G1448" i="3"/>
  <c r="G1443" i="3"/>
  <c r="G1444" i="3"/>
  <c r="G1461" i="3"/>
  <c r="G1452" i="3"/>
  <c r="G1445" i="3"/>
  <c r="G1453" i="3"/>
  <c r="G1457" i="3"/>
  <c r="G1463" i="3"/>
  <c r="G1465" i="3"/>
  <c r="G1446" i="3"/>
  <c r="G1449" i="3"/>
  <c r="G1450" i="3"/>
  <c r="G1455" i="3"/>
  <c r="G1447" i="3"/>
  <c r="G1451" i="3"/>
  <c r="G1459" i="3"/>
  <c r="G1460" i="3"/>
  <c r="G1469" i="3"/>
  <c r="G1471" i="3"/>
  <c r="G1456" i="3"/>
  <c r="G1468" i="3"/>
  <c r="G1458" i="3"/>
  <c r="G1464" i="3"/>
  <c r="G1466" i="3"/>
  <c r="G1470" i="3"/>
  <c r="G1462" i="3"/>
  <c r="G1454" i="3"/>
  <c r="G1472" i="3"/>
  <c r="G1478" i="3"/>
  <c r="G1485" i="3"/>
  <c r="G1482" i="3"/>
  <c r="G1481" i="3"/>
  <c r="G1476" i="3"/>
  <c r="G1484" i="3"/>
  <c r="G1483" i="3"/>
  <c r="G1477" i="3"/>
  <c r="G1473" i="3"/>
  <c r="G1480" i="3"/>
  <c r="G1479" i="3"/>
  <c r="G1475" i="3"/>
  <c r="G1474" i="3"/>
  <c r="G1493" i="3"/>
  <c r="G1488" i="3"/>
  <c r="G1494" i="3"/>
  <c r="G1499" i="3"/>
  <c r="G1501" i="3"/>
  <c r="G1487" i="3"/>
  <c r="G1500" i="3"/>
  <c r="G1495" i="3"/>
  <c r="G1492" i="3"/>
  <c r="G1502" i="3"/>
  <c r="G1486" i="3"/>
  <c r="G1489" i="3"/>
  <c r="G1490" i="3"/>
  <c r="G1498" i="3"/>
  <c r="G1496" i="3"/>
  <c r="G1491" i="3"/>
  <c r="G1497" i="3"/>
  <c r="G1509" i="3"/>
  <c r="G1506" i="3"/>
  <c r="G1503" i="3"/>
  <c r="G1508" i="3"/>
  <c r="G1505" i="3"/>
  <c r="G1507" i="3"/>
  <c r="G1504" i="3"/>
  <c r="G1530" i="3"/>
  <c r="G1510" i="3"/>
  <c r="G1514" i="3"/>
  <c r="G1534" i="3"/>
  <c r="G1529" i="3"/>
  <c r="G1525" i="3"/>
  <c r="G1521" i="3"/>
  <c r="G1533" i="3"/>
  <c r="G1512" i="3"/>
  <c r="G1519" i="3"/>
  <c r="G1527" i="3"/>
  <c r="G1517" i="3"/>
  <c r="G1522" i="3"/>
  <c r="G1526" i="3"/>
  <c r="G1513" i="3"/>
  <c r="G1518" i="3"/>
  <c r="G1528" i="3"/>
  <c r="G1511" i="3"/>
  <c r="G1524" i="3"/>
  <c r="G1523" i="3"/>
  <c r="G1515" i="3"/>
  <c r="G1516" i="3"/>
  <c r="G1532" i="3"/>
  <c r="G1520" i="3"/>
  <c r="G1531" i="3"/>
  <c r="G1537" i="3"/>
  <c r="G1548" i="3"/>
  <c r="G1536" i="3"/>
  <c r="G1539" i="3"/>
  <c r="G1552" i="3"/>
  <c r="G1543" i="3"/>
  <c r="G1544" i="3"/>
  <c r="G1535" i="3"/>
  <c r="G1541" i="3"/>
  <c r="G1540" i="3"/>
  <c r="G1542" i="3"/>
  <c r="G1545" i="3"/>
  <c r="G1546" i="3"/>
  <c r="G1560" i="3"/>
  <c r="G1553" i="3"/>
  <c r="G1538" i="3"/>
  <c r="G1547" i="3"/>
  <c r="G1551" i="3"/>
  <c r="G1559" i="3"/>
  <c r="G1561" i="3"/>
  <c r="G1565" i="3"/>
  <c r="G1558" i="3"/>
  <c r="G1566" i="3"/>
  <c r="G1557" i="3"/>
  <c r="G1563" i="3"/>
  <c r="G1556" i="3"/>
  <c r="G1568" i="3"/>
  <c r="G1562" i="3"/>
  <c r="G1567" i="3"/>
  <c r="G1555" i="3"/>
  <c r="G1549" i="3"/>
  <c r="G1564" i="3"/>
  <c r="G1554" i="3"/>
  <c r="G1550" i="3"/>
  <c r="G1569" i="3"/>
  <c r="G1572" i="3"/>
  <c r="G1571" i="3"/>
  <c r="G1573" i="3"/>
  <c r="G1570" i="3"/>
  <c r="G1582" i="3"/>
  <c r="G1576" i="3"/>
  <c r="G1580" i="3"/>
  <c r="G1584" i="3"/>
  <c r="G1579" i="3"/>
  <c r="G1581" i="3"/>
  <c r="G1585" i="3"/>
  <c r="G1574" i="3"/>
  <c r="G1578" i="3"/>
  <c r="G1583" i="3"/>
  <c r="G1575" i="3"/>
  <c r="G1577" i="3"/>
  <c r="G1587" i="3"/>
  <c r="G1586" i="3"/>
  <c r="G1595" i="3"/>
  <c r="G1597" i="3"/>
  <c r="G1589" i="3"/>
  <c r="G1594" i="3"/>
  <c r="G1588" i="3"/>
  <c r="G1596" i="3"/>
  <c r="G1590" i="3"/>
  <c r="G1593" i="3"/>
  <c r="G1592" i="3"/>
  <c r="G1598" i="3"/>
  <c r="G1591" i="3"/>
  <c r="G1606" i="3"/>
  <c r="G1599" i="3"/>
  <c r="G1607" i="3"/>
  <c r="G1605" i="3"/>
  <c r="G1609" i="3"/>
  <c r="G1601" i="3"/>
  <c r="G1600" i="3"/>
  <c r="G1603" i="3"/>
  <c r="G1608" i="3"/>
  <c r="G1611" i="3"/>
  <c r="G1602" i="3"/>
  <c r="G1610" i="3"/>
  <c r="G1604" i="3"/>
  <c r="G1612" i="3"/>
  <c r="G1613" i="3"/>
  <c r="G1614" i="3"/>
  <c r="G1617" i="3"/>
  <c r="G1616" i="3"/>
  <c r="G1618" i="3"/>
  <c r="G1615" i="3"/>
  <c r="G1620" i="3"/>
  <c r="G1619" i="3"/>
  <c r="G1621" i="3"/>
  <c r="G1623" i="3"/>
  <c r="G1630" i="3"/>
  <c r="G1624" i="3"/>
  <c r="G1627" i="3"/>
  <c r="G1629" i="3"/>
  <c r="G1632" i="3"/>
  <c r="G1625" i="3"/>
  <c r="G1622" i="3"/>
  <c r="G1631" i="3"/>
  <c r="G1628" i="3"/>
  <c r="G1626" i="3"/>
  <c r="G1636" i="3"/>
  <c r="G1648" i="3"/>
  <c r="G1640" i="3"/>
  <c r="G1647" i="3"/>
  <c r="G1644" i="3"/>
  <c r="G1645" i="3"/>
  <c r="G1635" i="3"/>
  <c r="G1633" i="3"/>
  <c r="G1646" i="3"/>
  <c r="G1639" i="3"/>
  <c r="G1638" i="3"/>
  <c r="G1642" i="3"/>
  <c r="G1634" i="3"/>
  <c r="G1643" i="3"/>
  <c r="G1641" i="3"/>
  <c r="G1637" i="3"/>
  <c r="G1650" i="3"/>
  <c r="G1653" i="3"/>
  <c r="G1649" i="3"/>
  <c r="G1652" i="3"/>
  <c r="G1654" i="3"/>
  <c r="G1651" i="3"/>
  <c r="G1655" i="3"/>
  <c r="G1656" i="3"/>
  <c r="G1657" i="3"/>
  <c r="G1658" i="3"/>
  <c r="G1665" i="3"/>
  <c r="G1666" i="3"/>
  <c r="G1659" i="3"/>
  <c r="G1664" i="3"/>
  <c r="G1662" i="3"/>
  <c r="G1660" i="3"/>
  <c r="G1661" i="3"/>
  <c r="G1668" i="3"/>
  <c r="G1667" i="3"/>
  <c r="G1663" i="3"/>
  <c r="G1669" i="3"/>
  <c r="G1680" i="3"/>
  <c r="G1673" i="3"/>
  <c r="G1681" i="3"/>
  <c r="G1684" i="3"/>
  <c r="G1675" i="3"/>
  <c r="G1679" i="3"/>
  <c r="G1685" i="3"/>
  <c r="G1686" i="3"/>
  <c r="G1674" i="3"/>
  <c r="G1671" i="3"/>
  <c r="G1678" i="3"/>
  <c r="G1672" i="3"/>
  <c r="G1677" i="3"/>
  <c r="G1670" i="3"/>
  <c r="G1676" i="3"/>
  <c r="G1683" i="3"/>
  <c r="G1682" i="3"/>
  <c r="G1687" i="3"/>
  <c r="G1694" i="3"/>
  <c r="G1690" i="3"/>
  <c r="G1691" i="3"/>
  <c r="G1696" i="3"/>
  <c r="G1692" i="3"/>
  <c r="G1695" i="3"/>
  <c r="G1689" i="3"/>
  <c r="G1693" i="3"/>
  <c r="G1688" i="3"/>
  <c r="G1709" i="3"/>
  <c r="G1698" i="3"/>
  <c r="G1697" i="3"/>
  <c r="G1706" i="3"/>
  <c r="G1704" i="3"/>
  <c r="G1699" i="3"/>
  <c r="G1700" i="3"/>
  <c r="G1708" i="3"/>
  <c r="G1702" i="3"/>
  <c r="G1707" i="3"/>
  <c r="G1705" i="3"/>
  <c r="G1703" i="3"/>
  <c r="G1701" i="3"/>
  <c r="G1710" i="3"/>
  <c r="G1719" i="3"/>
  <c r="G1715" i="3"/>
  <c r="G1725" i="3"/>
  <c r="G1724" i="3"/>
  <c r="G1721" i="3"/>
  <c r="G1722" i="3"/>
  <c r="G1714" i="3"/>
  <c r="G1716" i="3"/>
  <c r="G1713" i="3"/>
  <c r="G1712" i="3"/>
  <c r="G1723" i="3"/>
  <c r="G1718" i="3"/>
  <c r="G1720" i="3"/>
  <c r="G1711" i="3"/>
  <c r="G1717" i="3"/>
  <c r="G1728" i="3"/>
  <c r="G1727" i="3"/>
  <c r="G1726" i="3"/>
  <c r="G1729" i="3"/>
  <c r="G1730" i="3"/>
  <c r="G1739" i="3"/>
  <c r="G1731" i="3"/>
  <c r="G1738" i="3"/>
  <c r="G1734" i="3"/>
  <c r="G1732" i="3"/>
  <c r="G1736" i="3"/>
  <c r="G1737" i="3"/>
  <c r="G1735" i="3"/>
  <c r="G1733" i="3"/>
  <c r="G11" i="3"/>
</calcChain>
</file>

<file path=xl/sharedStrings.xml><?xml version="1.0" encoding="utf-8"?>
<sst xmlns="http://schemas.openxmlformats.org/spreadsheetml/2006/main" count="12776" uniqueCount="554">
  <si>
    <t>postcode</t>
  </si>
  <si>
    <t>huisnummer</t>
  </si>
  <si>
    <t>toevoeging</t>
  </si>
  <si>
    <t>straat</t>
  </si>
  <si>
    <t>plaats</t>
  </si>
  <si>
    <t>I</t>
  </si>
  <si>
    <t>Hoevelaken</t>
  </si>
  <si>
    <t>3871AD</t>
  </si>
  <si>
    <t>A</t>
  </si>
  <si>
    <t>Oosterdorpsstraat</t>
  </si>
  <si>
    <t>3871AE</t>
  </si>
  <si>
    <t>3871AG</t>
  </si>
  <si>
    <t>B</t>
  </si>
  <si>
    <t>C</t>
  </si>
  <si>
    <t>D</t>
  </si>
  <si>
    <t>E</t>
  </si>
  <si>
    <t>G</t>
  </si>
  <si>
    <t>H</t>
  </si>
  <si>
    <t>3871AT</t>
  </si>
  <si>
    <t>Westerdorpsstraat</t>
  </si>
  <si>
    <t>3871AV</t>
  </si>
  <si>
    <t>3871AW</t>
  </si>
  <si>
    <t>3871BB</t>
  </si>
  <si>
    <t>Kijftenbeltlaan</t>
  </si>
  <si>
    <t>3871BC</t>
  </si>
  <si>
    <t>3871BD</t>
  </si>
  <si>
    <t>3871BE</t>
  </si>
  <si>
    <t>3871BG</t>
  </si>
  <si>
    <t>van Zuylenlaan</t>
  </si>
  <si>
    <t>3871BH</t>
  </si>
  <si>
    <t>3871BJ</t>
  </si>
  <si>
    <t>Beukenlaan</t>
  </si>
  <si>
    <t>3871BK</t>
  </si>
  <si>
    <t>Meidoornlaan</t>
  </si>
  <si>
    <t>3871BL</t>
  </si>
  <si>
    <t>Elzenlaan</t>
  </si>
  <si>
    <t>3871BM</t>
  </si>
  <si>
    <t>Kastanjelaan</t>
  </si>
  <si>
    <t>3871BP</t>
  </si>
  <si>
    <t>Mulderslaantje</t>
  </si>
  <si>
    <t>3871BR</t>
  </si>
  <si>
    <t>Lindenhof</t>
  </si>
  <si>
    <t>3871BW</t>
  </si>
  <si>
    <t>Smalle Streek</t>
  </si>
  <si>
    <t>3871BX</t>
  </si>
  <si>
    <t>Beekmaten</t>
  </si>
  <si>
    <t>3871BZ</t>
  </si>
  <si>
    <t>Laantje van Hilhorst</t>
  </si>
  <si>
    <t>3871CA</t>
  </si>
  <si>
    <t>Asterlaan</t>
  </si>
  <si>
    <t>3871CB</t>
  </si>
  <si>
    <t>3871CC</t>
  </si>
  <si>
    <t>Seringenlaan</t>
  </si>
  <si>
    <t>3871CD</t>
  </si>
  <si>
    <t>3871CE</t>
  </si>
  <si>
    <t>Willem de Zwijgerlaan</t>
  </si>
  <si>
    <t>3871CG</t>
  </si>
  <si>
    <t>Mauritslaan</t>
  </si>
  <si>
    <t>3871CH</t>
  </si>
  <si>
    <t>3871CJ</t>
  </si>
  <si>
    <t>Christinapad</t>
  </si>
  <si>
    <t>3871CK</t>
  </si>
  <si>
    <t>Willem-Alexanderdreef</t>
  </si>
  <si>
    <t>3871CL</t>
  </si>
  <si>
    <t>3871CM</t>
  </si>
  <si>
    <t>Clauslaan</t>
  </si>
  <si>
    <t>3871CN</t>
  </si>
  <si>
    <t>Gravenhof</t>
  </si>
  <si>
    <t>3871CP</t>
  </si>
  <si>
    <t>Beverdam</t>
  </si>
  <si>
    <t>3871CS</t>
  </si>
  <si>
    <t>Ottersgat</t>
  </si>
  <si>
    <t>3871CT</t>
  </si>
  <si>
    <t>Hazeleger</t>
  </si>
  <si>
    <t>3871CV</t>
  </si>
  <si>
    <t>Nassaulaan</t>
  </si>
  <si>
    <t>3871CW</t>
  </si>
  <si>
    <t>3871CX</t>
  </si>
  <si>
    <t>3871CZ</t>
  </si>
  <si>
    <t>3871DA</t>
  </si>
  <si>
    <t>Koningshof</t>
  </si>
  <si>
    <t>3871DB</t>
  </si>
  <si>
    <t>Prinsenhof</t>
  </si>
  <si>
    <t>3871DC</t>
  </si>
  <si>
    <t>Stadhouderserf</t>
  </si>
  <si>
    <t>3871DE</t>
  </si>
  <si>
    <t>Dillenburg</t>
  </si>
  <si>
    <t>3871DG</t>
  </si>
  <si>
    <t>3871EA</t>
  </si>
  <si>
    <t>van Aalstplein</t>
  </si>
  <si>
    <t>3871EB</t>
  </si>
  <si>
    <t>Meerveldlaan</t>
  </si>
  <si>
    <t>3871EC</t>
  </si>
  <si>
    <t>3871ED</t>
  </si>
  <si>
    <t>J</t>
  </si>
  <si>
    <t>K</t>
  </si>
  <si>
    <t>3871EE</t>
  </si>
  <si>
    <t>Parklaan</t>
  </si>
  <si>
    <t>3871EG</t>
  </si>
  <si>
    <t>3871EH</t>
  </si>
  <si>
    <t>3871EJ</t>
  </si>
  <si>
    <t>J.J.A. Goeverneurlaan</t>
  </si>
  <si>
    <t>3871EK</t>
  </si>
  <si>
    <t>Resedalaan</t>
  </si>
  <si>
    <t>3871EL</t>
  </si>
  <si>
    <t>Frans Tromplaan</t>
  </si>
  <si>
    <t>3871EM</t>
  </si>
  <si>
    <t>3871EN</t>
  </si>
  <si>
    <t>3871EP</t>
  </si>
  <si>
    <t>3871ER</t>
  </si>
  <si>
    <t>Crocuslaan</t>
  </si>
  <si>
    <t>3871ES</t>
  </si>
  <si>
    <t>Narcislaan</t>
  </si>
  <si>
    <t>3871EV</t>
  </si>
  <si>
    <t>Anjerlaan</t>
  </si>
  <si>
    <t>3871EW</t>
  </si>
  <si>
    <t>Zonnebloemlaan</t>
  </si>
  <si>
    <t>3871EX</t>
  </si>
  <si>
    <t>Prikkebeenhof</t>
  </si>
  <si>
    <t>3871EZ</t>
  </si>
  <si>
    <t>Walter Stranglaan</t>
  </si>
  <si>
    <t>3871GA</t>
  </si>
  <si>
    <t>Wilhelminalaan</t>
  </si>
  <si>
    <t>3871GB</t>
  </si>
  <si>
    <t>3871GC</t>
  </si>
  <si>
    <t>3871GD</t>
  </si>
  <si>
    <t>Leeuwenbeklaan</t>
  </si>
  <si>
    <t>3871GE</t>
  </si>
  <si>
    <t>Klaprooslaan</t>
  </si>
  <si>
    <t>3871GG</t>
  </si>
  <si>
    <t>3871GH</t>
  </si>
  <si>
    <t>3871GJ</t>
  </si>
  <si>
    <t>Korenbloemlaan</t>
  </si>
  <si>
    <t>3871GK</t>
  </si>
  <si>
    <t>Rozenlaan</t>
  </si>
  <si>
    <t>3871HA</t>
  </si>
  <si>
    <t>Leeuweriklaan</t>
  </si>
  <si>
    <t>3871HB</t>
  </si>
  <si>
    <t>van Lyndenlaan</t>
  </si>
  <si>
    <t>3871HC</t>
  </si>
  <si>
    <t>3871HD</t>
  </si>
  <si>
    <t>Kievitlaan</t>
  </si>
  <si>
    <t>3871HE</t>
  </si>
  <si>
    <t>Spechtlaan</t>
  </si>
  <si>
    <t>3871HG</t>
  </si>
  <si>
    <t>Koolmeeslaan</t>
  </si>
  <si>
    <t>3871HH</t>
  </si>
  <si>
    <t>Sportweg</t>
  </si>
  <si>
    <t>3871HJ</t>
  </si>
  <si>
    <t>Nachtegaallaan</t>
  </si>
  <si>
    <t>3871HM</t>
  </si>
  <si>
    <t>Monshouwerlaan</t>
  </si>
  <si>
    <t>3871HN</t>
  </si>
  <si>
    <t>3871JA</t>
  </si>
  <si>
    <t>Stoutenburgerlaan</t>
  </si>
  <si>
    <t>3871JB</t>
  </si>
  <si>
    <t>3871JC</t>
  </si>
  <si>
    <t>3871JE</t>
  </si>
  <si>
    <t>Ridderspoor</t>
  </si>
  <si>
    <t>3871JG</t>
  </si>
  <si>
    <t>3871JH</t>
  </si>
  <si>
    <t>3871JJ</t>
  </si>
  <si>
    <t>Bijenvlucht</t>
  </si>
  <si>
    <t>3871JK</t>
  </si>
  <si>
    <t>Havikshorst</t>
  </si>
  <si>
    <t>3871JN</t>
  </si>
  <si>
    <t>Horstpad</t>
  </si>
  <si>
    <t>3871JP</t>
  </si>
  <si>
    <t>3871JR</t>
  </si>
  <si>
    <t>3871JT</t>
  </si>
  <si>
    <t>Constantijngaarde</t>
  </si>
  <si>
    <t>3871JV</t>
  </si>
  <si>
    <t>Johan Frisohof</t>
  </si>
  <si>
    <t>3871JW</t>
  </si>
  <si>
    <t>Irenepad</t>
  </si>
  <si>
    <t>3871JX</t>
  </si>
  <si>
    <t>Regentessepad</t>
  </si>
  <si>
    <t>3871JZ</t>
  </si>
  <si>
    <t>Koninginneweg</t>
  </si>
  <si>
    <t>3871KP</t>
  </si>
  <si>
    <t>Horstweg</t>
  </si>
  <si>
    <t>3871MA</t>
  </si>
  <si>
    <t>Heribertlaan</t>
  </si>
  <si>
    <t>3871MB</t>
  </si>
  <si>
    <t>Andreaslaan</t>
  </si>
  <si>
    <t>3871MC</t>
  </si>
  <si>
    <t>Otwardplaats</t>
  </si>
  <si>
    <t>3871MD</t>
  </si>
  <si>
    <t>Hemelricplaats</t>
  </si>
  <si>
    <t>3871MG</t>
  </si>
  <si>
    <t>3871MH</t>
  </si>
  <si>
    <t>Remvardplaats</t>
  </si>
  <si>
    <t>3871MJ</t>
  </si>
  <si>
    <t>Ottoborrengoed</t>
  </si>
  <si>
    <t>3871MK</t>
  </si>
  <si>
    <t>3871ML</t>
  </si>
  <si>
    <t>Twaalfmorgenland</t>
  </si>
  <si>
    <t>3871MN</t>
  </si>
  <si>
    <t>Pastoorakker</t>
  </si>
  <si>
    <t>3871MP</t>
  </si>
  <si>
    <t>3871MX</t>
  </si>
  <si>
    <t>Beekhof</t>
  </si>
  <si>
    <t>3871MZ</t>
  </si>
  <si>
    <t>Schalenhoek</t>
  </si>
  <si>
    <t>3871TA</t>
  </si>
  <si>
    <t>Ibislaan</t>
  </si>
  <si>
    <t>3871TB</t>
  </si>
  <si>
    <t>Reigerlaan</t>
  </si>
  <si>
    <t>3871TC</t>
  </si>
  <si>
    <t>3871TD</t>
  </si>
  <si>
    <t>van Dedemlaan</t>
  </si>
  <si>
    <t>3871TE</t>
  </si>
  <si>
    <t>Roerdomplaan</t>
  </si>
  <si>
    <t>3871TG</t>
  </si>
  <si>
    <t>Eiberlaan</t>
  </si>
  <si>
    <t>3871TH</t>
  </si>
  <si>
    <t>3871TJ</t>
  </si>
  <si>
    <t>3871TK</t>
  </si>
  <si>
    <t>Pluviersingel</t>
  </si>
  <si>
    <t>3871VA</t>
  </si>
  <si>
    <t>Emmalaan</t>
  </si>
  <si>
    <t>3871VB</t>
  </si>
  <si>
    <t>Beatrixlaan</t>
  </si>
  <si>
    <t>3871VC</t>
  </si>
  <si>
    <t>3871VD</t>
  </si>
  <si>
    <t>Oranjelaan</t>
  </si>
  <si>
    <t>3871VE</t>
  </si>
  <si>
    <t>Julianalaan</t>
  </si>
  <si>
    <t>3871VG</t>
  </si>
  <si>
    <t>3871VH</t>
  </si>
  <si>
    <t>3871VJ</t>
  </si>
  <si>
    <t>3871VK</t>
  </si>
  <si>
    <t>3871VL</t>
  </si>
  <si>
    <t>Bernhardlaan</t>
  </si>
  <si>
    <t>3871VM</t>
  </si>
  <si>
    <t>Margrietlaan</t>
  </si>
  <si>
    <t>Reeënspoor</t>
  </si>
  <si>
    <t># huizen</t>
  </si>
  <si>
    <t>Straat</t>
  </si>
  <si>
    <t>bezorger</t>
  </si>
  <si>
    <t>Fridtjof</t>
  </si>
  <si>
    <t>JanWillem</t>
  </si>
  <si>
    <t>Pieter</t>
  </si>
  <si>
    <t>Monique</t>
  </si>
  <si>
    <t>Lieske</t>
  </si>
  <si>
    <t>Ree√´nspoor</t>
  </si>
  <si>
    <t xml:space="preserve">Willem-Alexanderdreef </t>
  </si>
  <si>
    <r>
      <t>32</t>
    </r>
    <r>
      <rPr>
        <sz val="7"/>
        <color rgb="FF000000"/>
        <rFont val="Times New Roman"/>
        <family val="1"/>
      </rPr>
      <t>              </t>
    </r>
  </si>
  <si>
    <r>
      <t>33</t>
    </r>
    <r>
      <rPr>
        <sz val="7"/>
        <color rgb="FF000000"/>
        <rFont val="Times New Roman"/>
        <family val="1"/>
      </rPr>
      <t>               </t>
    </r>
  </si>
  <si>
    <t>3871M</t>
  </si>
  <si>
    <t>3871T</t>
  </si>
  <si>
    <t>Aantal</t>
  </si>
  <si>
    <t>P Geb</t>
  </si>
  <si>
    <t>René</t>
  </si>
  <si>
    <t>Tijmen</t>
  </si>
  <si>
    <t>Longitude</t>
  </si>
  <si>
    <t>Latitude</t>
  </si>
  <si>
    <t>3871 AD</t>
  </si>
  <si>
    <t>2a</t>
  </si>
  <si>
    <t>4a</t>
  </si>
  <si>
    <t>4</t>
  </si>
  <si>
    <t>6a</t>
  </si>
  <si>
    <t>6</t>
  </si>
  <si>
    <t>8</t>
  </si>
  <si>
    <t>10</t>
  </si>
  <si>
    <t>12</t>
  </si>
  <si>
    <t>14</t>
  </si>
  <si>
    <t>18</t>
  </si>
  <si>
    <t>22a</t>
  </si>
  <si>
    <t>22</t>
  </si>
  <si>
    <t>24</t>
  </si>
  <si>
    <t>26</t>
  </si>
  <si>
    <t>28</t>
  </si>
  <si>
    <t>32</t>
  </si>
  <si>
    <t>34</t>
  </si>
  <si>
    <t>36</t>
  </si>
  <si>
    <t>40</t>
  </si>
  <si>
    <t>46</t>
  </si>
  <si>
    <t>48</t>
  </si>
  <si>
    <t>3871 AE</t>
  </si>
  <si>
    <t>50</t>
  </si>
  <si>
    <t>52</t>
  </si>
  <si>
    <t>54</t>
  </si>
  <si>
    <t>56</t>
  </si>
  <si>
    <t>58</t>
  </si>
  <si>
    <t>60</t>
  </si>
  <si>
    <t>62</t>
  </si>
  <si>
    <t>64</t>
  </si>
  <si>
    <t>66</t>
  </si>
  <si>
    <t>68</t>
  </si>
  <si>
    <t>70</t>
  </si>
  <si>
    <t>72</t>
  </si>
  <si>
    <t>74</t>
  </si>
  <si>
    <t>76</t>
  </si>
  <si>
    <t>82</t>
  </si>
  <si>
    <t>84</t>
  </si>
  <si>
    <t>86</t>
  </si>
  <si>
    <t>88</t>
  </si>
  <si>
    <t>3871 AG</t>
  </si>
  <si>
    <t>90</t>
  </si>
  <si>
    <t>94</t>
  </si>
  <si>
    <t>98</t>
  </si>
  <si>
    <t>100</t>
  </si>
  <si>
    <t>102a</t>
  </si>
  <si>
    <t>104</t>
  </si>
  <si>
    <t>106</t>
  </si>
  <si>
    <t>108</t>
  </si>
  <si>
    <t>110</t>
  </si>
  <si>
    <t>112</t>
  </si>
  <si>
    <t>114</t>
  </si>
  <si>
    <t>116</t>
  </si>
  <si>
    <t>118</t>
  </si>
  <si>
    <t>120</t>
  </si>
  <si>
    <t>122a</t>
  </si>
  <si>
    <t>122</t>
  </si>
  <si>
    <t>124</t>
  </si>
  <si>
    <t>124a</t>
  </si>
  <si>
    <t>126</t>
  </si>
  <si>
    <t>138</t>
  </si>
  <si>
    <t>3871 AT</t>
  </si>
  <si>
    <t>9c</t>
  </si>
  <si>
    <t>11-I</t>
  </si>
  <si>
    <t>29b</t>
  </si>
  <si>
    <t>31</t>
  </si>
  <si>
    <t>31b</t>
  </si>
  <si>
    <t>41</t>
  </si>
  <si>
    <t>43</t>
  </si>
  <si>
    <t>45</t>
  </si>
  <si>
    <t>47</t>
  </si>
  <si>
    <t>49</t>
  </si>
  <si>
    <t>3871 AV</t>
  </si>
  <si>
    <t>51</t>
  </si>
  <si>
    <t>53</t>
  </si>
  <si>
    <t>55</t>
  </si>
  <si>
    <t>57</t>
  </si>
  <si>
    <t>59</t>
  </si>
  <si>
    <t>61</t>
  </si>
  <si>
    <t>61b</t>
  </si>
  <si>
    <t>61a</t>
  </si>
  <si>
    <t>63</t>
  </si>
  <si>
    <t>71</t>
  </si>
  <si>
    <t>73</t>
  </si>
  <si>
    <t>77</t>
  </si>
  <si>
    <t>79</t>
  </si>
  <si>
    <t>81</t>
  </si>
  <si>
    <t>83</t>
  </si>
  <si>
    <t>85</t>
  </si>
  <si>
    <t>3871 AW</t>
  </si>
  <si>
    <t>99</t>
  </si>
  <si>
    <t>101</t>
  </si>
  <si>
    <t>103</t>
  </si>
  <si>
    <t>105</t>
  </si>
  <si>
    <t>105a</t>
  </si>
  <si>
    <t>107</t>
  </si>
  <si>
    <t>3871 BB</t>
  </si>
  <si>
    <t>1</t>
  </si>
  <si>
    <t>3</t>
  </si>
  <si>
    <t>5</t>
  </si>
  <si>
    <t>7</t>
  </si>
  <si>
    <t>13</t>
  </si>
  <si>
    <t>17</t>
  </si>
  <si>
    <t>19</t>
  </si>
  <si>
    <t>21</t>
  </si>
  <si>
    <t>3871 BC</t>
  </si>
  <si>
    <t>29</t>
  </si>
  <si>
    <t>33</t>
  </si>
  <si>
    <t>35</t>
  </si>
  <si>
    <t>37</t>
  </si>
  <si>
    <t>39</t>
  </si>
  <si>
    <t>3871 BD</t>
  </si>
  <si>
    <t>2</t>
  </si>
  <si>
    <t>16</t>
  </si>
  <si>
    <t>20</t>
  </si>
  <si>
    <t>30</t>
  </si>
  <si>
    <t>38</t>
  </si>
  <si>
    <t>3871 BE</t>
  </si>
  <si>
    <t>42</t>
  </si>
  <si>
    <t>44</t>
  </si>
  <si>
    <t>78</t>
  </si>
  <si>
    <t>80</t>
  </si>
  <si>
    <t>3871 BG</t>
  </si>
  <si>
    <t>7a</t>
  </si>
  <si>
    <t>9</t>
  </si>
  <si>
    <t>15</t>
  </si>
  <si>
    <t>23</t>
  </si>
  <si>
    <t>25</t>
  </si>
  <si>
    <t>3871 BH</t>
  </si>
  <si>
    <t>2c</t>
  </si>
  <si>
    <t>2b</t>
  </si>
  <si>
    <t>3871 BJ</t>
  </si>
  <si>
    <t>3871 BK</t>
  </si>
  <si>
    <t>11</t>
  </si>
  <si>
    <t>3871 BL</t>
  </si>
  <si>
    <t>27</t>
  </si>
  <si>
    <t>3871 BM</t>
  </si>
  <si>
    <t>3871 BP</t>
  </si>
  <si>
    <t>3871 BR</t>
  </si>
  <si>
    <t>3871 BW</t>
  </si>
  <si>
    <t>3871 BX</t>
  </si>
  <si>
    <t>3871 BZ</t>
  </si>
  <si>
    <t>1a</t>
  </si>
  <si>
    <t>3871 CA</t>
  </si>
  <si>
    <t>3871 CB</t>
  </si>
  <si>
    <t>3871 CC</t>
  </si>
  <si>
    <t>3871 CD</t>
  </si>
  <si>
    <t>3871 CE</t>
  </si>
  <si>
    <t>3871 CG</t>
  </si>
  <si>
    <t>3871 CH</t>
  </si>
  <si>
    <t>3871 CJ</t>
  </si>
  <si>
    <t>3871 CK</t>
  </si>
  <si>
    <t>3871 CL</t>
  </si>
  <si>
    <t>3871 CM</t>
  </si>
  <si>
    <t>3871 CN</t>
  </si>
  <si>
    <t>3871 CP</t>
  </si>
  <si>
    <t>3871 CS</t>
  </si>
  <si>
    <t>3871 CT</t>
  </si>
  <si>
    <t>3871 CV</t>
  </si>
  <si>
    <t>3871 CW</t>
  </si>
  <si>
    <t>3871 CX</t>
  </si>
  <si>
    <t>3871 CZ</t>
  </si>
  <si>
    <t>3871 DA</t>
  </si>
  <si>
    <t>3871 DB</t>
  </si>
  <si>
    <t>3871 DC</t>
  </si>
  <si>
    <t>3871 DE</t>
  </si>
  <si>
    <t>3871 DG</t>
  </si>
  <si>
    <t>3871 EA</t>
  </si>
  <si>
    <t>3871 EB</t>
  </si>
  <si>
    <t>3871 EC</t>
  </si>
  <si>
    <t>65</t>
  </si>
  <si>
    <t>3871 ED</t>
  </si>
  <si>
    <t>2j</t>
  </si>
  <si>
    <t>2e</t>
  </si>
  <si>
    <t>2k</t>
  </si>
  <si>
    <t>2h</t>
  </si>
  <si>
    <t>2g</t>
  </si>
  <si>
    <t>2d</t>
  </si>
  <si>
    <t>3871 EE</t>
  </si>
  <si>
    <t>3871 EG</t>
  </si>
  <si>
    <t>3871 EH</t>
  </si>
  <si>
    <t>3871 EJ</t>
  </si>
  <si>
    <t>3871 EK</t>
  </si>
  <si>
    <t>3871 EL</t>
  </si>
  <si>
    <t>3871 EM</t>
  </si>
  <si>
    <t>45b</t>
  </si>
  <si>
    <t>45c</t>
  </si>
  <si>
    <t>45a</t>
  </si>
  <si>
    <t>47a</t>
  </si>
  <si>
    <t>47b</t>
  </si>
  <si>
    <t>67</t>
  </si>
  <si>
    <t>69</t>
  </si>
  <si>
    <t>75</t>
  </si>
  <si>
    <t>3871 EN</t>
  </si>
  <si>
    <t>14a</t>
  </si>
  <si>
    <t>16a</t>
  </si>
  <si>
    <t>3871 EP</t>
  </si>
  <si>
    <t>3871 ER</t>
  </si>
  <si>
    <t>3871 ES</t>
  </si>
  <si>
    <t>3871 EV</t>
  </si>
  <si>
    <t>3871 EW</t>
  </si>
  <si>
    <t>3871 EX</t>
  </si>
  <si>
    <t>3871 EZ</t>
  </si>
  <si>
    <t>3871 GA</t>
  </si>
  <si>
    <t>3871 GB</t>
  </si>
  <si>
    <t>3871 GC</t>
  </si>
  <si>
    <t>3871 GD</t>
  </si>
  <si>
    <t>3871 GE</t>
  </si>
  <si>
    <t>3871 GG</t>
  </si>
  <si>
    <t>3871 GH</t>
  </si>
  <si>
    <t>3871 GJ</t>
  </si>
  <si>
    <t>3871 GK</t>
  </si>
  <si>
    <t>3871 HA</t>
  </si>
  <si>
    <t>3871 HB</t>
  </si>
  <si>
    <t>3871 HC</t>
  </si>
  <si>
    <t>3871 HD</t>
  </si>
  <si>
    <t>3871 HE</t>
  </si>
  <si>
    <t>3871 HG</t>
  </si>
  <si>
    <t>3871 HH</t>
  </si>
  <si>
    <t>3871 HJ</t>
  </si>
  <si>
    <t>3871 HM</t>
  </si>
  <si>
    <t>3871 HN</t>
  </si>
  <si>
    <t>3871 JA</t>
  </si>
  <si>
    <t>21a</t>
  </si>
  <si>
    <t>21b</t>
  </si>
  <si>
    <t>21c</t>
  </si>
  <si>
    <t>21d</t>
  </si>
  <si>
    <t>3871 JB</t>
  </si>
  <si>
    <t>4b</t>
  </si>
  <si>
    <t>4j</t>
  </si>
  <si>
    <t>4k</t>
  </si>
  <si>
    <t>4c</t>
  </si>
  <si>
    <t>4g</t>
  </si>
  <si>
    <t>4h</t>
  </si>
  <si>
    <t>4e</t>
  </si>
  <si>
    <t>4d</t>
  </si>
  <si>
    <t>3871 JC</t>
  </si>
  <si>
    <t>58a</t>
  </si>
  <si>
    <t>60b</t>
  </si>
  <si>
    <t>60c</t>
  </si>
  <si>
    <t>60d</t>
  </si>
  <si>
    <t>3871 JE</t>
  </si>
  <si>
    <t>3871 JG</t>
  </si>
  <si>
    <t>3871 JH</t>
  </si>
  <si>
    <t>3871 JJ</t>
  </si>
  <si>
    <t>3871 JK</t>
  </si>
  <si>
    <t>3871 JN</t>
  </si>
  <si>
    <t>3871 JP</t>
  </si>
  <si>
    <t>3871 JR</t>
  </si>
  <si>
    <t>3871 JT</t>
  </si>
  <si>
    <t>3871 JV</t>
  </si>
  <si>
    <t>3871 JW</t>
  </si>
  <si>
    <t>3871 JX</t>
  </si>
  <si>
    <t>3871 JZ</t>
  </si>
  <si>
    <t>3871 KP</t>
  </si>
  <si>
    <t>3871 MA</t>
  </si>
  <si>
    <t>3871 MB</t>
  </si>
  <si>
    <t>3871 MC</t>
  </si>
  <si>
    <t>3871 MD</t>
  </si>
  <si>
    <t>3871 MG</t>
  </si>
  <si>
    <t>3871 MH</t>
  </si>
  <si>
    <t>3871 MJ</t>
  </si>
  <si>
    <t>3871 MK</t>
  </si>
  <si>
    <t>34a</t>
  </si>
  <si>
    <t>3871 ML</t>
  </si>
  <si>
    <t>3871 MN</t>
  </si>
  <si>
    <t>3871 MP</t>
  </si>
  <si>
    <t>3871 MX</t>
  </si>
  <si>
    <t>3871 MZ</t>
  </si>
  <si>
    <t>3871 TA</t>
  </si>
  <si>
    <t>3871 TB</t>
  </si>
  <si>
    <t>3871 TC</t>
  </si>
  <si>
    <t>3871 TD</t>
  </si>
  <si>
    <t>3871 TE</t>
  </si>
  <si>
    <t>3871 TG</t>
  </si>
  <si>
    <t>3871 TH</t>
  </si>
  <si>
    <t>3871 TJ</t>
  </si>
  <si>
    <t>3871 TK</t>
  </si>
  <si>
    <t>3871 VA</t>
  </si>
  <si>
    <t>3871 VB</t>
  </si>
  <si>
    <t>3871 VC</t>
  </si>
  <si>
    <t>3871 VD</t>
  </si>
  <si>
    <t>3871 VE</t>
  </si>
  <si>
    <t>3871 VG</t>
  </si>
  <si>
    <t>3871 VH</t>
  </si>
  <si>
    <t>87</t>
  </si>
  <si>
    <t>89</t>
  </si>
  <si>
    <t>91</t>
  </si>
  <si>
    <t>93</t>
  </si>
  <si>
    <t>95</t>
  </si>
  <si>
    <t>97</t>
  </si>
  <si>
    <t>3871 VJ</t>
  </si>
  <si>
    <t>3871 VK</t>
  </si>
  <si>
    <t>3871 VL</t>
  </si>
  <si>
    <t>1b</t>
  </si>
  <si>
    <t>3871 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</si>
</sst>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0" borderId="10" xfId="0" applyBorder="1"/>
    <xf numFmtId="0" fontId="0" fillId="0" borderId="11" xfId="0" applyBorder="1"/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justify" vertical="center" wrapText="1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23B4-702A-8245-8B04-16DD89417930}">
  <dimension ref="A1:M1739"/>
  <sheetViews>
    <sheetView tabSelected="1" workbookViewId="0">
      <selection activeCell="B2" sqref="B2"/>
    </sheetView>
  </sheetViews>
  <sheetFormatPr defaultColWidth="11.25" defaultRowHeight="15.75" x14ac:dyDescent="0.25"/>
  <cols>
    <col min="2" max="2" width="7" customWidth="1"/>
    <col min="3" max="3" width="4.75" customWidth="1"/>
    <col min="4" max="4" width="20.125" customWidth="1"/>
    <col min="6" max="6" width="5.25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251</v>
      </c>
      <c r="G1" s="12" t="s">
        <v>252</v>
      </c>
      <c r="H1" t="s">
        <v>255</v>
      </c>
      <c r="I1" t="s">
        <v>256</v>
      </c>
    </row>
    <row r="2" spans="1:13" x14ac:dyDescent="0.25">
      <c r="A2" s="3" t="s">
        <v>7</v>
      </c>
      <c r="B2" s="4">
        <v>2</v>
      </c>
      <c r="C2" s="4" t="s">
        <v>8</v>
      </c>
      <c r="D2" s="4" t="s">
        <v>9</v>
      </c>
      <c r="E2" s="4" t="s">
        <v>6</v>
      </c>
      <c r="F2">
        <f>COUNTIFS($D$2:D2,D2)</f>
        <v>1</v>
      </c>
      <c r="G2" t="str">
        <f t="shared" ref="G2:G65" si="0">LEFT(A2,5)</f>
        <v>3871A</v>
      </c>
      <c r="H2">
        <v>5.4586321</v>
      </c>
      <c r="I2">
        <v>52.175836699999998</v>
      </c>
      <c r="J2" t="s">
        <v>257</v>
      </c>
      <c r="K2" t="s">
        <v>258</v>
      </c>
      <c r="L2" t="s">
        <v>9</v>
      </c>
      <c r="M2" t="s">
        <v>6</v>
      </c>
    </row>
    <row r="3" spans="1:13" x14ac:dyDescent="0.25">
      <c r="A3" s="3" t="s">
        <v>7</v>
      </c>
      <c r="B3" s="4">
        <v>4</v>
      </c>
      <c r="C3" s="4" t="s">
        <v>8</v>
      </c>
      <c r="D3" s="4" t="s">
        <v>9</v>
      </c>
      <c r="E3" s="4" t="s">
        <v>6</v>
      </c>
      <c r="F3">
        <f>COUNTIFS($D$2:D3,D3)</f>
        <v>2</v>
      </c>
      <c r="G3" t="str">
        <f t="shared" si="0"/>
        <v>3871A</v>
      </c>
      <c r="H3">
        <v>5.4588457000000004</v>
      </c>
      <c r="I3">
        <v>52.175814699999997</v>
      </c>
      <c r="J3" t="s">
        <v>257</v>
      </c>
      <c r="K3" t="s">
        <v>259</v>
      </c>
      <c r="L3" t="s">
        <v>9</v>
      </c>
      <c r="M3" t="s">
        <v>6</v>
      </c>
    </row>
    <row r="4" spans="1:13" x14ac:dyDescent="0.25">
      <c r="A4" s="3" t="s">
        <v>7</v>
      </c>
      <c r="B4" s="4">
        <v>4</v>
      </c>
      <c r="C4" s="4"/>
      <c r="D4" s="4" t="s">
        <v>9</v>
      </c>
      <c r="E4" s="4" t="s">
        <v>6</v>
      </c>
      <c r="F4">
        <f>COUNTIFS($D$2:D4,D4)</f>
        <v>3</v>
      </c>
      <c r="G4" t="str">
        <f t="shared" si="0"/>
        <v>3871A</v>
      </c>
      <c r="H4">
        <v>5.4586477999999996</v>
      </c>
      <c r="I4">
        <v>52.175794099999997</v>
      </c>
      <c r="J4" t="s">
        <v>257</v>
      </c>
      <c r="K4" t="s">
        <v>260</v>
      </c>
      <c r="L4" t="s">
        <v>9</v>
      </c>
      <c r="M4" t="s">
        <v>6</v>
      </c>
    </row>
    <row r="5" spans="1:13" x14ac:dyDescent="0.25">
      <c r="A5" s="3" t="s">
        <v>7</v>
      </c>
      <c r="B5" s="4">
        <v>6</v>
      </c>
      <c r="C5" s="4" t="s">
        <v>8</v>
      </c>
      <c r="D5" s="4" t="s">
        <v>9</v>
      </c>
      <c r="E5" s="4" t="s">
        <v>6</v>
      </c>
      <c r="F5">
        <f>COUNTIFS($D$2:D5,D5)</f>
        <v>4</v>
      </c>
      <c r="G5" t="str">
        <f t="shared" si="0"/>
        <v>3871A</v>
      </c>
      <c r="H5">
        <v>5.4589087999999997</v>
      </c>
      <c r="I5">
        <v>52.175677200000003</v>
      </c>
      <c r="J5" t="s">
        <v>257</v>
      </c>
      <c r="K5" t="s">
        <v>261</v>
      </c>
      <c r="L5" t="s">
        <v>9</v>
      </c>
      <c r="M5" t="s">
        <v>6</v>
      </c>
    </row>
    <row r="6" spans="1:13" x14ac:dyDescent="0.25">
      <c r="A6" s="3" t="s">
        <v>7</v>
      </c>
      <c r="B6" s="4">
        <v>6</v>
      </c>
      <c r="C6" s="4"/>
      <c r="D6" s="4" t="s">
        <v>9</v>
      </c>
      <c r="E6" s="4" t="s">
        <v>6</v>
      </c>
      <c r="F6">
        <f>COUNTIFS($D$2:D6,D6)</f>
        <v>5</v>
      </c>
      <c r="G6" t="str">
        <f t="shared" si="0"/>
        <v>3871A</v>
      </c>
      <c r="H6">
        <v>5.4588771999999999</v>
      </c>
      <c r="I6">
        <v>52.175752600000003</v>
      </c>
      <c r="J6" t="s">
        <v>257</v>
      </c>
      <c r="K6" t="s">
        <v>262</v>
      </c>
      <c r="L6" t="s">
        <v>9</v>
      </c>
      <c r="M6" t="s">
        <v>6</v>
      </c>
    </row>
    <row r="7" spans="1:13" x14ac:dyDescent="0.25">
      <c r="A7" s="3" t="s">
        <v>7</v>
      </c>
      <c r="B7" s="4">
        <v>8</v>
      </c>
      <c r="C7" s="4"/>
      <c r="D7" s="4" t="s">
        <v>9</v>
      </c>
      <c r="E7" s="4" t="s">
        <v>6</v>
      </c>
      <c r="F7">
        <f>COUNTIFS($D$2:D7,D7)</f>
        <v>6</v>
      </c>
      <c r="G7" t="str">
        <f t="shared" si="0"/>
        <v>3871A</v>
      </c>
      <c r="H7">
        <v>5.4586655999999998</v>
      </c>
      <c r="I7">
        <v>52.175752799999998</v>
      </c>
      <c r="J7" t="s">
        <v>257</v>
      </c>
      <c r="K7" t="s">
        <v>263</v>
      </c>
      <c r="L7" t="s">
        <v>9</v>
      </c>
      <c r="M7" t="s">
        <v>6</v>
      </c>
    </row>
    <row r="8" spans="1:13" x14ac:dyDescent="0.25">
      <c r="A8" s="3" t="s">
        <v>7</v>
      </c>
      <c r="B8" s="4">
        <v>10</v>
      </c>
      <c r="C8" s="4"/>
      <c r="D8" s="4" t="s">
        <v>9</v>
      </c>
      <c r="E8" s="4" t="s">
        <v>6</v>
      </c>
      <c r="F8">
        <f>COUNTIFS($D$2:D8,D8)</f>
        <v>7</v>
      </c>
      <c r="G8" t="str">
        <f t="shared" si="0"/>
        <v>3871A</v>
      </c>
      <c r="H8">
        <v>5.4588137999999997</v>
      </c>
      <c r="I8">
        <v>52.175661499999997</v>
      </c>
      <c r="J8" t="s">
        <v>257</v>
      </c>
      <c r="K8" t="s">
        <v>264</v>
      </c>
      <c r="L8" t="s">
        <v>9</v>
      </c>
      <c r="M8" t="s">
        <v>6</v>
      </c>
    </row>
    <row r="9" spans="1:13" x14ac:dyDescent="0.25">
      <c r="A9" s="3" t="s">
        <v>7</v>
      </c>
      <c r="B9" s="4">
        <v>12</v>
      </c>
      <c r="C9" s="4"/>
      <c r="D9" s="4" t="s">
        <v>9</v>
      </c>
      <c r="E9" s="4" t="s">
        <v>6</v>
      </c>
      <c r="F9">
        <f>COUNTIFS($D$2:D9,D9)</f>
        <v>8</v>
      </c>
      <c r="G9" t="str">
        <f t="shared" si="0"/>
        <v>3871A</v>
      </c>
      <c r="H9">
        <v>5.4593590000000001</v>
      </c>
      <c r="I9">
        <v>52.175936200000002</v>
      </c>
      <c r="J9" t="s">
        <v>257</v>
      </c>
      <c r="K9" t="s">
        <v>265</v>
      </c>
      <c r="L9" t="s">
        <v>9</v>
      </c>
      <c r="M9" t="s">
        <v>6</v>
      </c>
    </row>
    <row r="10" spans="1:13" x14ac:dyDescent="0.25">
      <c r="A10" s="3" t="s">
        <v>7</v>
      </c>
      <c r="B10" s="4">
        <v>14</v>
      </c>
      <c r="C10" s="4"/>
      <c r="D10" s="4" t="s">
        <v>9</v>
      </c>
      <c r="E10" s="4" t="s">
        <v>6</v>
      </c>
      <c r="F10">
        <f>COUNTIFS($D$2:D10,D10)</f>
        <v>9</v>
      </c>
      <c r="G10" t="str">
        <f t="shared" si="0"/>
        <v>3871A</v>
      </c>
      <c r="H10">
        <v>5.4593692999999996</v>
      </c>
      <c r="I10">
        <v>52.175894599999999</v>
      </c>
      <c r="J10" t="s">
        <v>257</v>
      </c>
      <c r="K10" t="s">
        <v>266</v>
      </c>
      <c r="L10" t="s">
        <v>9</v>
      </c>
      <c r="M10" t="s">
        <v>6</v>
      </c>
    </row>
    <row r="11" spans="1:13" x14ac:dyDescent="0.25">
      <c r="A11" s="3" t="s">
        <v>7</v>
      </c>
      <c r="B11" s="4">
        <v>18</v>
      </c>
      <c r="C11" s="4"/>
      <c r="D11" s="4" t="s">
        <v>9</v>
      </c>
      <c r="E11" s="4" t="s">
        <v>6</v>
      </c>
      <c r="F11">
        <f>COUNTIFS($D$2:D11,D11)</f>
        <v>10</v>
      </c>
      <c r="G11" t="str">
        <f t="shared" si="0"/>
        <v>3871A</v>
      </c>
      <c r="H11">
        <v>5.4604029000000001</v>
      </c>
      <c r="I11">
        <v>52.175974500000002</v>
      </c>
      <c r="J11" t="s">
        <v>257</v>
      </c>
      <c r="K11" t="s">
        <v>267</v>
      </c>
      <c r="L11" t="s">
        <v>9</v>
      </c>
      <c r="M11" t="s">
        <v>6</v>
      </c>
    </row>
    <row r="12" spans="1:13" x14ac:dyDescent="0.25">
      <c r="A12" s="3" t="s">
        <v>7</v>
      </c>
      <c r="B12" s="4">
        <v>22</v>
      </c>
      <c r="C12" s="4" t="s">
        <v>8</v>
      </c>
      <c r="D12" s="4" t="s">
        <v>9</v>
      </c>
      <c r="E12" s="4" t="s">
        <v>6</v>
      </c>
      <c r="F12">
        <f>COUNTIFS($D$2:D12,D12)</f>
        <v>11</v>
      </c>
      <c r="G12" t="str">
        <f t="shared" si="0"/>
        <v>3871A</v>
      </c>
      <c r="H12">
        <v>5.4609585000000003</v>
      </c>
      <c r="I12">
        <v>52.176010099999999</v>
      </c>
      <c r="J12" t="s">
        <v>257</v>
      </c>
      <c r="K12" t="s">
        <v>268</v>
      </c>
      <c r="L12" t="s">
        <v>9</v>
      </c>
      <c r="M12" t="s">
        <v>6</v>
      </c>
    </row>
    <row r="13" spans="1:13" x14ac:dyDescent="0.25">
      <c r="A13" s="3" t="s">
        <v>7</v>
      </c>
      <c r="B13" s="4">
        <v>22</v>
      </c>
      <c r="C13" s="4"/>
      <c r="D13" s="4" t="s">
        <v>9</v>
      </c>
      <c r="E13" s="4" t="s">
        <v>6</v>
      </c>
      <c r="F13">
        <f>COUNTIFS($D$2:D13,D13)</f>
        <v>12</v>
      </c>
      <c r="G13" t="str">
        <f t="shared" si="0"/>
        <v>3871A</v>
      </c>
      <c r="H13">
        <v>5.4607538</v>
      </c>
      <c r="I13">
        <v>52.176001200000002</v>
      </c>
      <c r="J13" t="s">
        <v>257</v>
      </c>
      <c r="K13" t="s">
        <v>269</v>
      </c>
      <c r="L13" t="s">
        <v>9</v>
      </c>
      <c r="M13" t="s">
        <v>6</v>
      </c>
    </row>
    <row r="14" spans="1:13" x14ac:dyDescent="0.25">
      <c r="A14" s="3" t="s">
        <v>7</v>
      </c>
      <c r="B14" s="4">
        <v>24</v>
      </c>
      <c r="C14" s="4"/>
      <c r="D14" s="4" t="s">
        <v>9</v>
      </c>
      <c r="E14" s="4" t="s">
        <v>6</v>
      </c>
      <c r="F14">
        <f>COUNTIFS($D$2:D14,D14)</f>
        <v>13</v>
      </c>
      <c r="G14" t="str">
        <f t="shared" si="0"/>
        <v>3871A</v>
      </c>
      <c r="H14">
        <v>5.4613092999999999</v>
      </c>
      <c r="I14">
        <v>52.175955899999998</v>
      </c>
      <c r="J14" t="s">
        <v>257</v>
      </c>
      <c r="K14" t="s">
        <v>270</v>
      </c>
      <c r="L14" t="s">
        <v>9</v>
      </c>
      <c r="M14" t="s">
        <v>6</v>
      </c>
    </row>
    <row r="15" spans="1:13" x14ac:dyDescent="0.25">
      <c r="A15" s="3" t="s">
        <v>7</v>
      </c>
      <c r="B15" s="4">
        <v>26</v>
      </c>
      <c r="C15" s="4"/>
      <c r="D15" s="4" t="s">
        <v>9</v>
      </c>
      <c r="E15" s="4" t="s">
        <v>6</v>
      </c>
      <c r="F15">
        <f>COUNTIFS($D$2:D15,D15)</f>
        <v>14</v>
      </c>
      <c r="G15" t="str">
        <f t="shared" si="0"/>
        <v>3871A</v>
      </c>
      <c r="H15">
        <v>5.4616892999999997</v>
      </c>
      <c r="I15">
        <v>52.175919700000001</v>
      </c>
      <c r="J15" t="s">
        <v>257</v>
      </c>
      <c r="K15" t="s">
        <v>271</v>
      </c>
      <c r="L15" t="s">
        <v>9</v>
      </c>
      <c r="M15" t="s">
        <v>6</v>
      </c>
    </row>
    <row r="16" spans="1:13" x14ac:dyDescent="0.25">
      <c r="A16" s="3" t="s">
        <v>7</v>
      </c>
      <c r="B16" s="4">
        <v>28</v>
      </c>
      <c r="C16" s="4"/>
      <c r="D16" s="4" t="s">
        <v>9</v>
      </c>
      <c r="E16" s="4" t="s">
        <v>6</v>
      </c>
      <c r="F16">
        <f>COUNTIFS($D$2:D16,D16)</f>
        <v>15</v>
      </c>
      <c r="G16" t="str">
        <f t="shared" si="0"/>
        <v>3871A</v>
      </c>
      <c r="H16">
        <v>5.4618938999999997</v>
      </c>
      <c r="I16">
        <v>52.1758837</v>
      </c>
      <c r="J16" t="s">
        <v>257</v>
      </c>
      <c r="K16" t="s">
        <v>272</v>
      </c>
      <c r="L16" t="s">
        <v>9</v>
      </c>
      <c r="M16" t="s">
        <v>6</v>
      </c>
    </row>
    <row r="17" spans="1:13" x14ac:dyDescent="0.25">
      <c r="A17" s="3" t="s">
        <v>7</v>
      </c>
      <c r="B17" s="4">
        <v>32</v>
      </c>
      <c r="C17" s="4"/>
      <c r="D17" s="4" t="s">
        <v>9</v>
      </c>
      <c r="E17" s="4" t="s">
        <v>6</v>
      </c>
      <c r="F17">
        <f>COUNTIFS($D$2:D17,D17)</f>
        <v>16</v>
      </c>
      <c r="G17" t="str">
        <f t="shared" si="0"/>
        <v>3871A</v>
      </c>
      <c r="H17">
        <v>5.4621278000000002</v>
      </c>
      <c r="I17">
        <v>52.1758655</v>
      </c>
      <c r="J17" t="s">
        <v>257</v>
      </c>
      <c r="K17" t="s">
        <v>273</v>
      </c>
      <c r="L17" t="s">
        <v>9</v>
      </c>
      <c r="M17" t="s">
        <v>6</v>
      </c>
    </row>
    <row r="18" spans="1:13" x14ac:dyDescent="0.25">
      <c r="A18" s="3" t="s">
        <v>7</v>
      </c>
      <c r="B18" s="4">
        <v>34</v>
      </c>
      <c r="C18" s="4"/>
      <c r="D18" s="4" t="s">
        <v>9</v>
      </c>
      <c r="E18" s="4" t="s">
        <v>6</v>
      </c>
      <c r="F18">
        <f>COUNTIFS($D$2:D18,D18)</f>
        <v>17</v>
      </c>
      <c r="G18" t="str">
        <f t="shared" si="0"/>
        <v>3871A</v>
      </c>
      <c r="H18">
        <v>5.4621862999999999</v>
      </c>
      <c r="I18">
        <v>52.175856500000002</v>
      </c>
      <c r="J18" t="s">
        <v>257</v>
      </c>
      <c r="K18" t="s">
        <v>274</v>
      </c>
      <c r="L18" t="s">
        <v>9</v>
      </c>
      <c r="M18" t="s">
        <v>6</v>
      </c>
    </row>
    <row r="19" spans="1:13" x14ac:dyDescent="0.25">
      <c r="A19" s="3" t="s">
        <v>7</v>
      </c>
      <c r="B19" s="4">
        <v>36</v>
      </c>
      <c r="C19" s="4"/>
      <c r="D19" s="4" t="s">
        <v>9</v>
      </c>
      <c r="E19" s="4" t="s">
        <v>6</v>
      </c>
      <c r="F19">
        <f>COUNTIFS($D$2:D19,D19)</f>
        <v>18</v>
      </c>
      <c r="G19" t="str">
        <f t="shared" si="0"/>
        <v>3871A</v>
      </c>
      <c r="H19">
        <v>5.4622301000000002</v>
      </c>
      <c r="I19">
        <v>52.175856500000002</v>
      </c>
      <c r="J19" t="s">
        <v>257</v>
      </c>
      <c r="K19" t="s">
        <v>275</v>
      </c>
      <c r="L19" t="s">
        <v>9</v>
      </c>
      <c r="M19" t="s">
        <v>6</v>
      </c>
    </row>
    <row r="20" spans="1:13" x14ac:dyDescent="0.25">
      <c r="A20" s="3" t="s">
        <v>7</v>
      </c>
      <c r="B20" s="4">
        <v>40</v>
      </c>
      <c r="C20" s="4"/>
      <c r="D20" s="4" t="s">
        <v>9</v>
      </c>
      <c r="E20" s="4" t="s">
        <v>6</v>
      </c>
      <c r="F20">
        <f>COUNTIFS($D$2:D20,D20)</f>
        <v>19</v>
      </c>
      <c r="G20" t="str">
        <f t="shared" si="0"/>
        <v>3871A</v>
      </c>
      <c r="H20">
        <v>5.4629899999999996</v>
      </c>
      <c r="I20">
        <v>52.175658300000002</v>
      </c>
      <c r="J20" t="s">
        <v>257</v>
      </c>
      <c r="K20" t="s">
        <v>276</v>
      </c>
      <c r="L20" t="s">
        <v>9</v>
      </c>
      <c r="M20" t="s">
        <v>6</v>
      </c>
    </row>
    <row r="21" spans="1:13" x14ac:dyDescent="0.25">
      <c r="A21" s="3" t="s">
        <v>7</v>
      </c>
      <c r="B21" s="4">
        <v>46</v>
      </c>
      <c r="C21" s="4"/>
      <c r="D21" s="4" t="s">
        <v>9</v>
      </c>
      <c r="E21" s="4" t="s">
        <v>6</v>
      </c>
      <c r="F21">
        <f>COUNTIFS($D$2:D21,D21)</f>
        <v>20</v>
      </c>
      <c r="G21" t="str">
        <f t="shared" si="0"/>
        <v>3871A</v>
      </c>
      <c r="H21">
        <v>5.4632529999999999</v>
      </c>
      <c r="I21">
        <v>52.175577199999999</v>
      </c>
      <c r="J21" t="s">
        <v>257</v>
      </c>
      <c r="K21" t="s">
        <v>277</v>
      </c>
      <c r="L21" t="s">
        <v>9</v>
      </c>
      <c r="M21" t="s">
        <v>6</v>
      </c>
    </row>
    <row r="22" spans="1:13" x14ac:dyDescent="0.25">
      <c r="A22" s="3" t="s">
        <v>7</v>
      </c>
      <c r="B22" s="4">
        <v>48</v>
      </c>
      <c r="C22" s="4"/>
      <c r="D22" s="4" t="s">
        <v>9</v>
      </c>
      <c r="E22" s="4" t="s">
        <v>6</v>
      </c>
      <c r="F22">
        <f>COUNTIFS($D$2:D22,D22)</f>
        <v>21</v>
      </c>
      <c r="G22" t="str">
        <f t="shared" si="0"/>
        <v>3871A</v>
      </c>
      <c r="H22">
        <v>5.4635600000000002</v>
      </c>
      <c r="I22">
        <v>52.175567999999998</v>
      </c>
      <c r="J22" t="s">
        <v>257</v>
      </c>
      <c r="K22" t="s">
        <v>278</v>
      </c>
      <c r="L22" t="s">
        <v>9</v>
      </c>
      <c r="M22" t="s">
        <v>6</v>
      </c>
    </row>
    <row r="23" spans="1:13" x14ac:dyDescent="0.25">
      <c r="A23" s="3" t="s">
        <v>10</v>
      </c>
      <c r="B23" s="4">
        <v>50</v>
      </c>
      <c r="C23" s="4"/>
      <c r="D23" s="4" t="s">
        <v>9</v>
      </c>
      <c r="E23" s="4" t="s">
        <v>6</v>
      </c>
      <c r="F23">
        <f>COUNTIFS($D$2:D23,D23)</f>
        <v>22</v>
      </c>
      <c r="G23" t="str">
        <f t="shared" si="0"/>
        <v>3871A</v>
      </c>
      <c r="H23">
        <v>5.4637206999999997</v>
      </c>
      <c r="I23">
        <v>52.175531999999997</v>
      </c>
      <c r="J23" t="s">
        <v>279</v>
      </c>
      <c r="K23" t="s">
        <v>280</v>
      </c>
      <c r="L23" t="s">
        <v>9</v>
      </c>
      <c r="M23" t="s">
        <v>6</v>
      </c>
    </row>
    <row r="24" spans="1:13" x14ac:dyDescent="0.25">
      <c r="A24" s="3" t="s">
        <v>10</v>
      </c>
      <c r="B24" s="4">
        <v>52</v>
      </c>
      <c r="C24" s="4"/>
      <c r="D24" s="4" t="s">
        <v>9</v>
      </c>
      <c r="E24" s="4" t="s">
        <v>6</v>
      </c>
      <c r="F24">
        <f>COUNTIFS($D$2:D24,D24)</f>
        <v>23</v>
      </c>
      <c r="G24" t="str">
        <f t="shared" si="0"/>
        <v>3871A</v>
      </c>
      <c r="H24">
        <v>5.4639692000000002</v>
      </c>
      <c r="I24">
        <v>52.175477899999997</v>
      </c>
      <c r="J24" t="s">
        <v>279</v>
      </c>
      <c r="K24" t="s">
        <v>281</v>
      </c>
      <c r="L24" t="s">
        <v>9</v>
      </c>
      <c r="M24" t="s">
        <v>6</v>
      </c>
    </row>
    <row r="25" spans="1:13" x14ac:dyDescent="0.25">
      <c r="A25" s="3" t="s">
        <v>10</v>
      </c>
      <c r="B25" s="4">
        <v>54</v>
      </c>
      <c r="C25" s="4"/>
      <c r="D25" s="4" t="s">
        <v>9</v>
      </c>
      <c r="E25" s="4" t="s">
        <v>6</v>
      </c>
      <c r="F25">
        <f>COUNTIFS($D$2:D25,D25)</f>
        <v>24</v>
      </c>
      <c r="G25" t="str">
        <f t="shared" si="0"/>
        <v>3871A</v>
      </c>
      <c r="H25">
        <v>5.4642469</v>
      </c>
      <c r="I25">
        <v>52.175450699999999</v>
      </c>
      <c r="J25" t="s">
        <v>279</v>
      </c>
      <c r="K25" t="s">
        <v>282</v>
      </c>
      <c r="L25" t="s">
        <v>9</v>
      </c>
      <c r="M25" t="s">
        <v>6</v>
      </c>
    </row>
    <row r="26" spans="1:13" x14ac:dyDescent="0.25">
      <c r="A26" s="3" t="s">
        <v>10</v>
      </c>
      <c r="B26" s="4">
        <v>56</v>
      </c>
      <c r="C26" s="4"/>
      <c r="D26" s="4" t="s">
        <v>9</v>
      </c>
      <c r="E26" s="4" t="s">
        <v>6</v>
      </c>
      <c r="F26">
        <f>COUNTIFS($D$2:D26,D26)</f>
        <v>25</v>
      </c>
      <c r="G26" t="str">
        <f t="shared" si="0"/>
        <v>3871A</v>
      </c>
      <c r="H26">
        <v>5.4643639000000004</v>
      </c>
      <c r="I26">
        <v>52.175450699999999</v>
      </c>
      <c r="J26" t="s">
        <v>279</v>
      </c>
      <c r="K26" t="s">
        <v>283</v>
      </c>
      <c r="L26" t="s">
        <v>9</v>
      </c>
      <c r="M26" t="s">
        <v>6</v>
      </c>
    </row>
    <row r="27" spans="1:13" x14ac:dyDescent="0.25">
      <c r="A27" s="3" t="s">
        <v>10</v>
      </c>
      <c r="B27" s="4">
        <v>58</v>
      </c>
      <c r="C27" s="4"/>
      <c r="D27" s="4" t="s">
        <v>9</v>
      </c>
      <c r="E27" s="4" t="s">
        <v>6</v>
      </c>
      <c r="F27">
        <f>COUNTIFS($D$2:D27,D27)</f>
        <v>26</v>
      </c>
      <c r="G27" t="str">
        <f t="shared" si="0"/>
        <v>3871A</v>
      </c>
      <c r="H27">
        <v>5.4644953999999997</v>
      </c>
      <c r="I27">
        <v>52.175450599999998</v>
      </c>
      <c r="J27" t="s">
        <v>279</v>
      </c>
      <c r="K27" t="s">
        <v>284</v>
      </c>
      <c r="L27" t="s">
        <v>9</v>
      </c>
      <c r="M27" t="s">
        <v>6</v>
      </c>
    </row>
    <row r="28" spans="1:13" x14ac:dyDescent="0.25">
      <c r="A28" s="3" t="s">
        <v>10</v>
      </c>
      <c r="B28" s="4">
        <v>60</v>
      </c>
      <c r="C28" s="4"/>
      <c r="D28" s="4" t="s">
        <v>9</v>
      </c>
      <c r="E28" s="4" t="s">
        <v>6</v>
      </c>
      <c r="F28">
        <f>COUNTIFS($D$2:D28,D28)</f>
        <v>27</v>
      </c>
      <c r="G28" t="str">
        <f t="shared" si="0"/>
        <v>3871A</v>
      </c>
      <c r="H28">
        <v>5.4645976999999997</v>
      </c>
      <c r="I28">
        <v>52.175441499999998</v>
      </c>
      <c r="J28" t="s">
        <v>279</v>
      </c>
      <c r="K28" t="s">
        <v>285</v>
      </c>
      <c r="L28" t="s">
        <v>9</v>
      </c>
      <c r="M28" t="s">
        <v>6</v>
      </c>
    </row>
    <row r="29" spans="1:13" x14ac:dyDescent="0.25">
      <c r="A29" s="3" t="s">
        <v>10</v>
      </c>
      <c r="B29" s="4">
        <v>62</v>
      </c>
      <c r="C29" s="4"/>
      <c r="D29" s="4" t="s">
        <v>9</v>
      </c>
      <c r="E29" s="4" t="s">
        <v>6</v>
      </c>
      <c r="F29">
        <f>COUNTIFS($D$2:D29,D29)</f>
        <v>28</v>
      </c>
      <c r="G29" t="str">
        <f t="shared" si="0"/>
        <v>3871A</v>
      </c>
      <c r="H29">
        <v>5.4649840999999997</v>
      </c>
      <c r="I29">
        <v>52.175404399999998</v>
      </c>
      <c r="J29" t="s">
        <v>279</v>
      </c>
      <c r="K29" t="s">
        <v>286</v>
      </c>
      <c r="L29" t="s">
        <v>9</v>
      </c>
      <c r="M29" t="s">
        <v>6</v>
      </c>
    </row>
    <row r="30" spans="1:13" x14ac:dyDescent="0.25">
      <c r="A30" s="3" t="s">
        <v>10</v>
      </c>
      <c r="B30" s="4">
        <v>64</v>
      </c>
      <c r="C30" s="4"/>
      <c r="D30" s="4" t="s">
        <v>9</v>
      </c>
      <c r="E30" s="4" t="s">
        <v>6</v>
      </c>
      <c r="F30">
        <f>COUNTIFS($D$2:D30,D30)</f>
        <v>29</v>
      </c>
      <c r="G30" t="str">
        <f t="shared" si="0"/>
        <v>3871A</v>
      </c>
      <c r="H30">
        <v>5.4652408000000001</v>
      </c>
      <c r="I30">
        <v>52.175324199999999</v>
      </c>
      <c r="J30" t="s">
        <v>279</v>
      </c>
      <c r="K30" t="s">
        <v>287</v>
      </c>
      <c r="L30" t="s">
        <v>9</v>
      </c>
      <c r="M30" t="s">
        <v>6</v>
      </c>
    </row>
    <row r="31" spans="1:13" x14ac:dyDescent="0.25">
      <c r="A31" s="3" t="s">
        <v>10</v>
      </c>
      <c r="B31" s="4">
        <v>66</v>
      </c>
      <c r="C31" s="4"/>
      <c r="D31" s="4" t="s">
        <v>9</v>
      </c>
      <c r="E31" s="4" t="s">
        <v>6</v>
      </c>
      <c r="F31">
        <f>COUNTIFS($D$2:D31,D31)</f>
        <v>30</v>
      </c>
      <c r="G31" t="str">
        <f t="shared" si="0"/>
        <v>3871A</v>
      </c>
      <c r="H31">
        <v>5.4655915999999998</v>
      </c>
      <c r="I31">
        <v>52.175279099999997</v>
      </c>
      <c r="J31" t="s">
        <v>279</v>
      </c>
      <c r="K31" t="s">
        <v>288</v>
      </c>
      <c r="L31" t="s">
        <v>9</v>
      </c>
      <c r="M31" t="s">
        <v>6</v>
      </c>
    </row>
    <row r="32" spans="1:13" x14ac:dyDescent="0.25">
      <c r="A32" s="3" t="s">
        <v>10</v>
      </c>
      <c r="B32" s="4">
        <v>68</v>
      </c>
      <c r="C32" s="4"/>
      <c r="D32" s="4" t="s">
        <v>9</v>
      </c>
      <c r="E32" s="4" t="s">
        <v>6</v>
      </c>
      <c r="F32">
        <f>COUNTIFS($D$2:D32,D32)</f>
        <v>31</v>
      </c>
      <c r="G32" t="str">
        <f t="shared" si="0"/>
        <v>3871A</v>
      </c>
      <c r="H32">
        <v>5.4658692999999996</v>
      </c>
      <c r="I32">
        <v>52.175269900000004</v>
      </c>
      <c r="J32" t="s">
        <v>279</v>
      </c>
      <c r="K32" t="s">
        <v>289</v>
      </c>
      <c r="L32" t="s">
        <v>9</v>
      </c>
      <c r="M32" t="s">
        <v>6</v>
      </c>
    </row>
    <row r="33" spans="1:13" x14ac:dyDescent="0.25">
      <c r="A33" s="3" t="s">
        <v>10</v>
      </c>
      <c r="B33" s="4">
        <v>70</v>
      </c>
      <c r="C33" s="4"/>
      <c r="D33" s="4" t="s">
        <v>9</v>
      </c>
      <c r="E33" s="4" t="s">
        <v>6</v>
      </c>
      <c r="F33">
        <f>COUNTIFS($D$2:D33,D33)</f>
        <v>32</v>
      </c>
      <c r="G33" t="str">
        <f t="shared" si="0"/>
        <v>3871A</v>
      </c>
      <c r="H33">
        <v>5.4660447000000003</v>
      </c>
      <c r="I33">
        <v>52.175260799999997</v>
      </c>
      <c r="J33" t="s">
        <v>279</v>
      </c>
      <c r="K33" t="s">
        <v>290</v>
      </c>
      <c r="L33" t="s">
        <v>9</v>
      </c>
      <c r="M33" t="s">
        <v>6</v>
      </c>
    </row>
    <row r="34" spans="1:13" x14ac:dyDescent="0.25">
      <c r="A34" s="3" t="s">
        <v>10</v>
      </c>
      <c r="B34" s="4">
        <v>72</v>
      </c>
      <c r="C34" s="4"/>
      <c r="D34" s="4" t="s">
        <v>9</v>
      </c>
      <c r="E34" s="4" t="s">
        <v>6</v>
      </c>
      <c r="F34">
        <f>COUNTIFS($D$2:D34,D34)</f>
        <v>33</v>
      </c>
      <c r="G34" t="str">
        <f t="shared" si="0"/>
        <v>3871A</v>
      </c>
      <c r="H34">
        <v>5.4662639999999998</v>
      </c>
      <c r="I34">
        <v>52.175251699999997</v>
      </c>
      <c r="J34" t="s">
        <v>279</v>
      </c>
      <c r="K34" t="s">
        <v>291</v>
      </c>
      <c r="L34" t="s">
        <v>9</v>
      </c>
      <c r="M34" t="s">
        <v>6</v>
      </c>
    </row>
    <row r="35" spans="1:13" x14ac:dyDescent="0.25">
      <c r="A35" s="3" t="s">
        <v>10</v>
      </c>
      <c r="B35" s="4">
        <v>74</v>
      </c>
      <c r="C35" s="4"/>
      <c r="D35" s="4" t="s">
        <v>9</v>
      </c>
      <c r="E35" s="4" t="s">
        <v>6</v>
      </c>
      <c r="F35">
        <f>COUNTIFS($D$2:D35,D35)</f>
        <v>34</v>
      </c>
      <c r="G35" t="str">
        <f t="shared" si="0"/>
        <v>3871A</v>
      </c>
      <c r="H35">
        <v>5.4663370999999996</v>
      </c>
      <c r="I35">
        <v>52.175242599999997</v>
      </c>
      <c r="J35" t="s">
        <v>279</v>
      </c>
      <c r="K35" t="s">
        <v>292</v>
      </c>
      <c r="L35" t="s">
        <v>9</v>
      </c>
      <c r="M35" t="s">
        <v>6</v>
      </c>
    </row>
    <row r="36" spans="1:13" x14ac:dyDescent="0.25">
      <c r="A36" s="3" t="s">
        <v>10</v>
      </c>
      <c r="B36" s="4">
        <v>76</v>
      </c>
      <c r="C36" s="4"/>
      <c r="D36" s="4" t="s">
        <v>9</v>
      </c>
      <c r="E36" s="4" t="s">
        <v>6</v>
      </c>
      <c r="F36">
        <f>COUNTIFS($D$2:D36,D36)</f>
        <v>35</v>
      </c>
      <c r="G36" t="str">
        <f t="shared" si="0"/>
        <v>3871A</v>
      </c>
      <c r="H36">
        <v>5.4665856000000002</v>
      </c>
      <c r="I36">
        <v>52.175224499999999</v>
      </c>
      <c r="J36" t="s">
        <v>279</v>
      </c>
      <c r="K36" t="s">
        <v>293</v>
      </c>
      <c r="L36" t="s">
        <v>9</v>
      </c>
      <c r="M36" t="s">
        <v>6</v>
      </c>
    </row>
    <row r="37" spans="1:13" x14ac:dyDescent="0.25">
      <c r="A37" s="3" t="s">
        <v>10</v>
      </c>
      <c r="B37" s="4">
        <v>82</v>
      </c>
      <c r="C37" s="4"/>
      <c r="D37" s="4" t="s">
        <v>9</v>
      </c>
      <c r="E37" s="4" t="s">
        <v>6</v>
      </c>
      <c r="F37">
        <f>COUNTIFS($D$2:D37,D37)</f>
        <v>36</v>
      </c>
      <c r="G37" t="str">
        <f t="shared" si="0"/>
        <v>3871A</v>
      </c>
      <c r="H37">
        <v>5.4669508999999996</v>
      </c>
      <c r="I37">
        <v>52.175161299999999</v>
      </c>
      <c r="J37" t="s">
        <v>279</v>
      </c>
      <c r="K37" t="s">
        <v>294</v>
      </c>
      <c r="L37" t="s">
        <v>9</v>
      </c>
      <c r="M37" t="s">
        <v>6</v>
      </c>
    </row>
    <row r="38" spans="1:13" x14ac:dyDescent="0.25">
      <c r="A38" s="3" t="s">
        <v>10</v>
      </c>
      <c r="B38" s="4">
        <v>84</v>
      </c>
      <c r="C38" s="4"/>
      <c r="D38" s="4" t="s">
        <v>9</v>
      </c>
      <c r="E38" s="4" t="s">
        <v>6</v>
      </c>
      <c r="F38">
        <f>COUNTIFS($D$2:D38,D38)</f>
        <v>37</v>
      </c>
      <c r="G38" t="str">
        <f t="shared" si="0"/>
        <v>3871A</v>
      </c>
      <c r="H38">
        <v>5.4670971000000002</v>
      </c>
      <c r="I38">
        <v>52.175152199999999</v>
      </c>
      <c r="J38" t="s">
        <v>279</v>
      </c>
      <c r="K38" t="s">
        <v>295</v>
      </c>
      <c r="L38" t="s">
        <v>9</v>
      </c>
      <c r="M38" t="s">
        <v>6</v>
      </c>
    </row>
    <row r="39" spans="1:13" x14ac:dyDescent="0.25">
      <c r="A39" s="3" t="s">
        <v>10</v>
      </c>
      <c r="B39" s="4">
        <v>86</v>
      </c>
      <c r="C39" s="4"/>
      <c r="D39" s="4" t="s">
        <v>9</v>
      </c>
      <c r="E39" s="4" t="s">
        <v>6</v>
      </c>
      <c r="F39">
        <f>COUNTIFS($D$2:D39,D39)</f>
        <v>38</v>
      </c>
      <c r="G39" t="str">
        <f t="shared" si="0"/>
        <v>3871A</v>
      </c>
      <c r="H39">
        <v>5.4671702</v>
      </c>
      <c r="I39">
        <v>52.175152199999999</v>
      </c>
      <c r="J39" t="s">
        <v>279</v>
      </c>
      <c r="K39" t="s">
        <v>296</v>
      </c>
      <c r="L39" t="s">
        <v>9</v>
      </c>
      <c r="M39" t="s">
        <v>6</v>
      </c>
    </row>
    <row r="40" spans="1:13" x14ac:dyDescent="0.25">
      <c r="A40" s="3" t="s">
        <v>10</v>
      </c>
      <c r="B40" s="4">
        <v>88</v>
      </c>
      <c r="C40" s="4"/>
      <c r="D40" s="4" t="s">
        <v>9</v>
      </c>
      <c r="E40" s="4" t="s">
        <v>6</v>
      </c>
      <c r="F40">
        <f>COUNTIFS($D$2:D40,D40)</f>
        <v>39</v>
      </c>
      <c r="G40" t="str">
        <f t="shared" si="0"/>
        <v>3871A</v>
      </c>
      <c r="H40">
        <v>5.4673163999999996</v>
      </c>
      <c r="I40">
        <v>52.175152099999998</v>
      </c>
      <c r="J40" t="s">
        <v>279</v>
      </c>
      <c r="K40" t="s">
        <v>297</v>
      </c>
      <c r="L40" t="s">
        <v>9</v>
      </c>
      <c r="M40" t="s">
        <v>6</v>
      </c>
    </row>
    <row r="41" spans="1:13" x14ac:dyDescent="0.25">
      <c r="A41" s="3" t="s">
        <v>11</v>
      </c>
      <c r="B41" s="4">
        <v>90</v>
      </c>
      <c r="C41" s="4"/>
      <c r="D41" s="4" t="s">
        <v>9</v>
      </c>
      <c r="E41" s="4" t="s">
        <v>6</v>
      </c>
      <c r="F41">
        <f>COUNTIFS($D$2:D41,D41)</f>
        <v>40</v>
      </c>
      <c r="G41" t="str">
        <f t="shared" si="0"/>
        <v>3871A</v>
      </c>
      <c r="H41">
        <v>5.4674332999999997</v>
      </c>
      <c r="I41">
        <v>52.175142999999998</v>
      </c>
      <c r="J41" t="s">
        <v>298</v>
      </c>
      <c r="K41" t="s">
        <v>299</v>
      </c>
      <c r="L41" t="s">
        <v>9</v>
      </c>
      <c r="M41" t="s">
        <v>6</v>
      </c>
    </row>
    <row r="42" spans="1:13" x14ac:dyDescent="0.25">
      <c r="A42" s="3" t="s">
        <v>11</v>
      </c>
      <c r="B42" s="4">
        <v>94</v>
      </c>
      <c r="C42" s="4"/>
      <c r="D42" s="4" t="s">
        <v>9</v>
      </c>
      <c r="E42" s="4" t="s">
        <v>6</v>
      </c>
      <c r="F42">
        <f>COUNTIFS($D$2:D42,D42)</f>
        <v>41</v>
      </c>
      <c r="G42" t="str">
        <f t="shared" si="0"/>
        <v>3871A</v>
      </c>
      <c r="H42">
        <v>5.4676233999999999</v>
      </c>
      <c r="I42">
        <v>52.175151900000003</v>
      </c>
      <c r="J42" t="s">
        <v>298</v>
      </c>
      <c r="K42" t="s">
        <v>300</v>
      </c>
      <c r="L42" t="s">
        <v>9</v>
      </c>
      <c r="M42" t="s">
        <v>6</v>
      </c>
    </row>
    <row r="43" spans="1:13" x14ac:dyDescent="0.25">
      <c r="A43" s="3" t="s">
        <v>11</v>
      </c>
      <c r="B43" s="4">
        <v>98</v>
      </c>
      <c r="C43" s="4"/>
      <c r="D43" s="4" t="s">
        <v>9</v>
      </c>
      <c r="E43" s="4" t="s">
        <v>6</v>
      </c>
      <c r="F43">
        <f>COUNTIFS($D$2:D43,D43)</f>
        <v>42</v>
      </c>
      <c r="G43" t="str">
        <f t="shared" si="0"/>
        <v>3871A</v>
      </c>
      <c r="H43">
        <v>5.4679304999999996</v>
      </c>
      <c r="I43">
        <v>52.175205599999998</v>
      </c>
      <c r="J43" t="s">
        <v>298</v>
      </c>
      <c r="K43" t="s">
        <v>301</v>
      </c>
      <c r="L43" t="s">
        <v>9</v>
      </c>
      <c r="M43" t="s">
        <v>6</v>
      </c>
    </row>
    <row r="44" spans="1:13" x14ac:dyDescent="0.25">
      <c r="A44" s="3" t="s">
        <v>11</v>
      </c>
      <c r="B44" s="4">
        <v>100</v>
      </c>
      <c r="C44" s="4"/>
      <c r="D44" s="4" t="s">
        <v>9</v>
      </c>
      <c r="E44" s="4" t="s">
        <v>6</v>
      </c>
      <c r="F44">
        <f>COUNTIFS($D$2:D44,D44)</f>
        <v>43</v>
      </c>
      <c r="G44" t="str">
        <f t="shared" si="0"/>
        <v>3871A</v>
      </c>
      <c r="H44">
        <v>5.4680106000000004</v>
      </c>
      <c r="I44">
        <v>52.175193999999998</v>
      </c>
      <c r="J44" t="s">
        <v>298</v>
      </c>
      <c r="K44" t="s">
        <v>302</v>
      </c>
      <c r="L44" t="s">
        <v>9</v>
      </c>
      <c r="M44" t="s">
        <v>6</v>
      </c>
    </row>
    <row r="45" spans="1:13" x14ac:dyDescent="0.25">
      <c r="A45" s="3" t="s">
        <v>11</v>
      </c>
      <c r="B45" s="4">
        <v>102</v>
      </c>
      <c r="C45" s="4" t="s">
        <v>8</v>
      </c>
      <c r="D45" s="4" t="s">
        <v>9</v>
      </c>
      <c r="E45" s="4" t="s">
        <v>6</v>
      </c>
      <c r="F45">
        <f>COUNTIFS($D$2:D45,D45)</f>
        <v>44</v>
      </c>
      <c r="G45" t="str">
        <f t="shared" si="0"/>
        <v>3871A</v>
      </c>
      <c r="H45">
        <v>5.4684566999999999</v>
      </c>
      <c r="I45">
        <v>52.1751693</v>
      </c>
      <c r="J45" t="s">
        <v>298</v>
      </c>
      <c r="K45" t="s">
        <v>303</v>
      </c>
      <c r="L45" t="s">
        <v>9</v>
      </c>
      <c r="M45" t="s">
        <v>6</v>
      </c>
    </row>
    <row r="46" spans="1:13" x14ac:dyDescent="0.25">
      <c r="A46" s="3" t="s">
        <v>11</v>
      </c>
      <c r="B46" s="4">
        <v>104</v>
      </c>
      <c r="C46" s="4"/>
      <c r="D46" s="4" t="s">
        <v>9</v>
      </c>
      <c r="E46" s="4" t="s">
        <v>6</v>
      </c>
      <c r="F46">
        <f>COUNTIFS($D$2:D46,D46)</f>
        <v>45</v>
      </c>
      <c r="G46" t="str">
        <f t="shared" si="0"/>
        <v>3871A</v>
      </c>
      <c r="H46">
        <v>5.4687635999999999</v>
      </c>
      <c r="I46">
        <v>52.175106200000002</v>
      </c>
      <c r="J46" t="s">
        <v>298</v>
      </c>
      <c r="K46" t="s">
        <v>304</v>
      </c>
      <c r="L46" t="s">
        <v>9</v>
      </c>
      <c r="M46" t="s">
        <v>6</v>
      </c>
    </row>
    <row r="47" spans="1:13" x14ac:dyDescent="0.25">
      <c r="A47" s="3" t="s">
        <v>11</v>
      </c>
      <c r="B47" s="4">
        <v>106</v>
      </c>
      <c r="C47" s="4"/>
      <c r="D47" s="4" t="s">
        <v>9</v>
      </c>
      <c r="E47" s="4" t="s">
        <v>6</v>
      </c>
      <c r="F47">
        <f>COUNTIFS($D$2:D47,D47)</f>
        <v>46</v>
      </c>
      <c r="G47" t="str">
        <f t="shared" si="0"/>
        <v>3871A</v>
      </c>
      <c r="H47">
        <v>5.4689975000000004</v>
      </c>
      <c r="I47">
        <v>52.175106</v>
      </c>
      <c r="J47" t="s">
        <v>298</v>
      </c>
      <c r="K47" t="s">
        <v>305</v>
      </c>
      <c r="L47" t="s">
        <v>9</v>
      </c>
      <c r="M47" t="s">
        <v>6</v>
      </c>
    </row>
    <row r="48" spans="1:13" x14ac:dyDescent="0.25">
      <c r="A48" s="3" t="s">
        <v>11</v>
      </c>
      <c r="B48" s="4">
        <v>108</v>
      </c>
      <c r="C48" s="4"/>
      <c r="D48" s="4" t="s">
        <v>9</v>
      </c>
      <c r="E48" s="4" t="s">
        <v>6</v>
      </c>
      <c r="F48">
        <f>COUNTIFS($D$2:D48,D48)</f>
        <v>47</v>
      </c>
      <c r="G48" t="str">
        <f t="shared" si="0"/>
        <v>3871A</v>
      </c>
      <c r="H48">
        <v>5.4692314</v>
      </c>
      <c r="I48">
        <v>52.175096799999999</v>
      </c>
      <c r="J48" t="s">
        <v>298</v>
      </c>
      <c r="K48" t="s">
        <v>306</v>
      </c>
      <c r="L48" t="s">
        <v>9</v>
      </c>
      <c r="M48" t="s">
        <v>6</v>
      </c>
    </row>
    <row r="49" spans="1:13" x14ac:dyDescent="0.25">
      <c r="A49" s="3" t="s">
        <v>11</v>
      </c>
      <c r="B49" s="4">
        <v>110</v>
      </c>
      <c r="C49" s="4"/>
      <c r="D49" s="4" t="s">
        <v>9</v>
      </c>
      <c r="E49" s="4" t="s">
        <v>6</v>
      </c>
      <c r="F49">
        <f>COUNTIFS($D$2:D49,D49)</f>
        <v>48</v>
      </c>
      <c r="G49" t="str">
        <f t="shared" si="0"/>
        <v>3871A</v>
      </c>
      <c r="H49">
        <v>5.4695112999999997</v>
      </c>
      <c r="I49">
        <v>52.175122299999998</v>
      </c>
      <c r="J49" t="s">
        <v>298</v>
      </c>
      <c r="K49" t="s">
        <v>307</v>
      </c>
      <c r="L49" t="s">
        <v>9</v>
      </c>
      <c r="M49" t="s">
        <v>6</v>
      </c>
    </row>
    <row r="50" spans="1:13" x14ac:dyDescent="0.25">
      <c r="A50" s="3" t="s">
        <v>11</v>
      </c>
      <c r="B50" s="4">
        <v>112</v>
      </c>
      <c r="C50" s="4"/>
      <c r="D50" s="4" t="s">
        <v>9</v>
      </c>
      <c r="E50" s="4" t="s">
        <v>6</v>
      </c>
      <c r="F50">
        <f>COUNTIFS($D$2:D50,D50)</f>
        <v>49</v>
      </c>
      <c r="G50" t="str">
        <f t="shared" si="0"/>
        <v>3871A</v>
      </c>
      <c r="H50">
        <v>5.4696749000000002</v>
      </c>
      <c r="I50">
        <v>52.175138500000003</v>
      </c>
      <c r="J50" t="s">
        <v>298</v>
      </c>
      <c r="K50" t="s">
        <v>308</v>
      </c>
      <c r="L50" t="s">
        <v>9</v>
      </c>
      <c r="M50" t="s">
        <v>6</v>
      </c>
    </row>
    <row r="51" spans="1:13" x14ac:dyDescent="0.25">
      <c r="A51" s="3" t="s">
        <v>11</v>
      </c>
      <c r="B51" s="4">
        <v>114</v>
      </c>
      <c r="C51" s="4"/>
      <c r="D51" s="4" t="s">
        <v>9</v>
      </c>
      <c r="E51" s="4" t="s">
        <v>6</v>
      </c>
      <c r="F51">
        <f>COUNTIFS($D$2:D51,D51)</f>
        <v>50</v>
      </c>
      <c r="G51" t="str">
        <f t="shared" si="0"/>
        <v>3871A</v>
      </c>
      <c r="H51">
        <v>5.4697605999999999</v>
      </c>
      <c r="I51">
        <v>52.175120700000001</v>
      </c>
      <c r="J51" t="s">
        <v>298</v>
      </c>
      <c r="K51" t="s">
        <v>309</v>
      </c>
      <c r="L51" t="s">
        <v>9</v>
      </c>
      <c r="M51" t="s">
        <v>6</v>
      </c>
    </row>
    <row r="52" spans="1:13" x14ac:dyDescent="0.25">
      <c r="A52" s="3" t="s">
        <v>11</v>
      </c>
      <c r="B52" s="4">
        <v>116</v>
      </c>
      <c r="C52" s="4"/>
      <c r="D52" s="4" t="s">
        <v>9</v>
      </c>
      <c r="E52" s="4" t="s">
        <v>6</v>
      </c>
      <c r="F52">
        <f>COUNTIFS($D$2:D52,D52)</f>
        <v>51</v>
      </c>
      <c r="G52" t="str">
        <f t="shared" si="0"/>
        <v>3871A</v>
      </c>
      <c r="H52">
        <v>5.4698444999999998</v>
      </c>
      <c r="I52">
        <v>52.175107599999997</v>
      </c>
      <c r="J52" t="s">
        <v>298</v>
      </c>
      <c r="K52" t="s">
        <v>310</v>
      </c>
      <c r="L52" t="s">
        <v>9</v>
      </c>
      <c r="M52" t="s">
        <v>6</v>
      </c>
    </row>
    <row r="53" spans="1:13" x14ac:dyDescent="0.25">
      <c r="A53" s="3" t="s">
        <v>11</v>
      </c>
      <c r="B53" s="4">
        <v>118</v>
      </c>
      <c r="C53" s="4"/>
      <c r="D53" s="4" t="s">
        <v>9</v>
      </c>
      <c r="E53" s="4" t="s">
        <v>6</v>
      </c>
      <c r="F53">
        <f>COUNTIFS($D$2:D53,D53)</f>
        <v>52</v>
      </c>
      <c r="G53" t="str">
        <f t="shared" si="0"/>
        <v>3871A</v>
      </c>
      <c r="H53">
        <v>5.4702400999999998</v>
      </c>
      <c r="I53">
        <v>52.175087099999999</v>
      </c>
      <c r="J53" t="s">
        <v>298</v>
      </c>
      <c r="K53" t="s">
        <v>311</v>
      </c>
      <c r="L53" t="s">
        <v>9</v>
      </c>
      <c r="M53" t="s">
        <v>6</v>
      </c>
    </row>
    <row r="54" spans="1:13" x14ac:dyDescent="0.25">
      <c r="A54" s="3" t="s">
        <v>11</v>
      </c>
      <c r="B54" s="4">
        <v>120</v>
      </c>
      <c r="C54" s="4"/>
      <c r="D54" s="4" t="s">
        <v>9</v>
      </c>
      <c r="E54" s="4" t="s">
        <v>6</v>
      </c>
      <c r="F54">
        <f>COUNTIFS($D$2:D54,D54)</f>
        <v>53</v>
      </c>
      <c r="G54" t="str">
        <f t="shared" si="0"/>
        <v>3871A</v>
      </c>
      <c r="H54">
        <v>5.4703499000000004</v>
      </c>
      <c r="I54">
        <v>52.175119899999999</v>
      </c>
      <c r="J54" t="s">
        <v>298</v>
      </c>
      <c r="K54" t="s">
        <v>312</v>
      </c>
      <c r="L54" t="s">
        <v>9</v>
      </c>
      <c r="M54" t="s">
        <v>6</v>
      </c>
    </row>
    <row r="55" spans="1:13" x14ac:dyDescent="0.25">
      <c r="A55" s="3" t="s">
        <v>11</v>
      </c>
      <c r="B55" s="4">
        <v>122</v>
      </c>
      <c r="C55" s="4" t="s">
        <v>8</v>
      </c>
      <c r="D55" s="4" t="s">
        <v>9</v>
      </c>
      <c r="E55" s="4" t="s">
        <v>6</v>
      </c>
      <c r="F55">
        <f>COUNTIFS($D$2:D55,D55)</f>
        <v>54</v>
      </c>
      <c r="G55" t="str">
        <f t="shared" si="0"/>
        <v>3871A</v>
      </c>
      <c r="H55">
        <v>5.4709795000000003</v>
      </c>
      <c r="I55">
        <v>52.175123800000001</v>
      </c>
      <c r="J55" t="s">
        <v>298</v>
      </c>
      <c r="K55" t="s">
        <v>313</v>
      </c>
      <c r="L55" t="s">
        <v>9</v>
      </c>
      <c r="M55" t="s">
        <v>6</v>
      </c>
    </row>
    <row r="56" spans="1:13" x14ac:dyDescent="0.25">
      <c r="A56" s="3" t="s">
        <v>11</v>
      </c>
      <c r="B56" s="4">
        <v>122</v>
      </c>
      <c r="C56" s="4"/>
      <c r="D56" s="4" t="s">
        <v>9</v>
      </c>
      <c r="E56" s="4" t="s">
        <v>6</v>
      </c>
      <c r="F56">
        <f>COUNTIFS($D$2:D56,D56)</f>
        <v>55</v>
      </c>
      <c r="G56" t="str">
        <f t="shared" si="0"/>
        <v>3871A</v>
      </c>
      <c r="H56">
        <v>5.4706868000000002</v>
      </c>
      <c r="I56">
        <v>52.175103700000001</v>
      </c>
      <c r="J56" t="s">
        <v>298</v>
      </c>
      <c r="K56" t="s">
        <v>314</v>
      </c>
      <c r="L56" t="s">
        <v>9</v>
      </c>
      <c r="M56" t="s">
        <v>6</v>
      </c>
    </row>
    <row r="57" spans="1:13" x14ac:dyDescent="0.25">
      <c r="A57" s="3" t="s">
        <v>11</v>
      </c>
      <c r="B57" s="4">
        <v>124</v>
      </c>
      <c r="C57" s="4"/>
      <c r="D57" s="4" t="s">
        <v>9</v>
      </c>
      <c r="E57" s="4" t="s">
        <v>6</v>
      </c>
      <c r="F57">
        <f>COUNTIFS($D$2:D57,D57)</f>
        <v>56</v>
      </c>
      <c r="G57" t="str">
        <f t="shared" si="0"/>
        <v>3871A</v>
      </c>
      <c r="H57">
        <v>5.4712635000000001</v>
      </c>
      <c r="I57">
        <v>52.175113400000001</v>
      </c>
      <c r="J57" t="s">
        <v>298</v>
      </c>
      <c r="K57" t="s">
        <v>315</v>
      </c>
      <c r="L57" t="s">
        <v>9</v>
      </c>
      <c r="M57" t="s">
        <v>6</v>
      </c>
    </row>
    <row r="58" spans="1:13" x14ac:dyDescent="0.25">
      <c r="A58" s="3" t="s">
        <v>11</v>
      </c>
      <c r="B58" s="4">
        <v>124</v>
      </c>
      <c r="C58" s="4" t="s">
        <v>8</v>
      </c>
      <c r="D58" s="4" t="s">
        <v>9</v>
      </c>
      <c r="E58" s="4" t="s">
        <v>6</v>
      </c>
      <c r="F58">
        <f>COUNTIFS($D$2:D58,D58)</f>
        <v>57</v>
      </c>
      <c r="G58" t="str">
        <f t="shared" si="0"/>
        <v>3871A</v>
      </c>
      <c r="H58">
        <v>5.4713336000000004</v>
      </c>
      <c r="I58">
        <v>52.1751456</v>
      </c>
      <c r="J58" t="s">
        <v>298</v>
      </c>
      <c r="K58" t="s">
        <v>316</v>
      </c>
      <c r="L58" t="s">
        <v>9</v>
      </c>
      <c r="M58" t="s">
        <v>6</v>
      </c>
    </row>
    <row r="59" spans="1:13" x14ac:dyDescent="0.25">
      <c r="A59" s="3" t="s">
        <v>11</v>
      </c>
      <c r="B59" s="4">
        <v>126</v>
      </c>
      <c r="C59" s="4"/>
      <c r="D59" s="4" t="s">
        <v>9</v>
      </c>
      <c r="E59" s="4" t="s">
        <v>6</v>
      </c>
      <c r="F59">
        <f>COUNTIFS($D$2:D59,D59)</f>
        <v>58</v>
      </c>
      <c r="G59" t="str">
        <f t="shared" si="0"/>
        <v>3871A</v>
      </c>
      <c r="H59">
        <v>5.4715366999999997</v>
      </c>
      <c r="I59">
        <v>52.175143599999998</v>
      </c>
      <c r="J59" t="s">
        <v>298</v>
      </c>
      <c r="K59" t="s">
        <v>317</v>
      </c>
      <c r="L59" t="s">
        <v>9</v>
      </c>
      <c r="M59" t="s">
        <v>6</v>
      </c>
    </row>
    <row r="60" spans="1:13" x14ac:dyDescent="0.25">
      <c r="A60" s="3" t="s">
        <v>11</v>
      </c>
      <c r="B60" s="4">
        <v>138</v>
      </c>
      <c r="C60" s="4"/>
      <c r="D60" s="4" t="s">
        <v>9</v>
      </c>
      <c r="E60" s="4" t="s">
        <v>6</v>
      </c>
      <c r="F60">
        <f>COUNTIFS($D$2:D60,D60)</f>
        <v>59</v>
      </c>
      <c r="G60" t="str">
        <f t="shared" si="0"/>
        <v>3871A</v>
      </c>
      <c r="H60">
        <v>5.4722723999999996</v>
      </c>
      <c r="I60">
        <v>52.1752295</v>
      </c>
      <c r="J60" t="s">
        <v>298</v>
      </c>
      <c r="K60" t="s">
        <v>318</v>
      </c>
      <c r="L60" t="s">
        <v>9</v>
      </c>
      <c r="M60" t="s">
        <v>6</v>
      </c>
    </row>
    <row r="61" spans="1:13" x14ac:dyDescent="0.25">
      <c r="A61" s="3" t="s">
        <v>18</v>
      </c>
      <c r="B61" s="4">
        <v>9</v>
      </c>
      <c r="C61" s="4" t="s">
        <v>13</v>
      </c>
      <c r="D61" s="4" t="s">
        <v>19</v>
      </c>
      <c r="E61" s="4" t="s">
        <v>6</v>
      </c>
      <c r="F61">
        <f>COUNTIFS($D$2:D61,D61)</f>
        <v>1</v>
      </c>
      <c r="G61" t="str">
        <f t="shared" si="0"/>
        <v>3871A</v>
      </c>
      <c r="H61">
        <v>5.4565093999999998</v>
      </c>
      <c r="I61">
        <v>52.175465699999997</v>
      </c>
      <c r="J61" t="s">
        <v>319</v>
      </c>
      <c r="K61" t="s">
        <v>320</v>
      </c>
      <c r="L61" t="s">
        <v>19</v>
      </c>
      <c r="M61" t="s">
        <v>6</v>
      </c>
    </row>
    <row r="62" spans="1:13" x14ac:dyDescent="0.25">
      <c r="A62" s="3" t="s">
        <v>18</v>
      </c>
      <c r="B62" s="4">
        <v>11</v>
      </c>
      <c r="C62" s="4" t="s">
        <v>5</v>
      </c>
      <c r="D62" s="4" t="s">
        <v>19</v>
      </c>
      <c r="E62" s="4" t="s">
        <v>6</v>
      </c>
      <c r="F62">
        <f>COUNTIFS($D$2:D62,D62)</f>
        <v>2</v>
      </c>
      <c r="G62" t="str">
        <f t="shared" si="0"/>
        <v>3871A</v>
      </c>
      <c r="H62">
        <v>5.4562891999999996</v>
      </c>
      <c r="I62">
        <v>52.175469300000003</v>
      </c>
      <c r="J62" t="s">
        <v>319</v>
      </c>
      <c r="K62" t="s">
        <v>321</v>
      </c>
      <c r="L62" t="s">
        <v>19</v>
      </c>
      <c r="M62" t="s">
        <v>6</v>
      </c>
    </row>
    <row r="63" spans="1:13" x14ac:dyDescent="0.25">
      <c r="A63" s="3" t="s">
        <v>18</v>
      </c>
      <c r="B63" s="4">
        <v>29</v>
      </c>
      <c r="C63" s="4" t="s">
        <v>12</v>
      </c>
      <c r="D63" s="4" t="s">
        <v>19</v>
      </c>
      <c r="E63" s="4" t="s">
        <v>6</v>
      </c>
      <c r="F63">
        <f>COUNTIFS($D$2:D63,D63)</f>
        <v>3</v>
      </c>
      <c r="G63" t="str">
        <f t="shared" si="0"/>
        <v>3871A</v>
      </c>
      <c r="H63">
        <v>5.4546462</v>
      </c>
      <c r="I63">
        <v>52.175139700000003</v>
      </c>
      <c r="J63" t="s">
        <v>319</v>
      </c>
      <c r="K63" t="s">
        <v>322</v>
      </c>
      <c r="L63" t="s">
        <v>19</v>
      </c>
      <c r="M63" t="s">
        <v>6</v>
      </c>
    </row>
    <row r="64" spans="1:13" x14ac:dyDescent="0.25">
      <c r="A64" s="3" t="s">
        <v>18</v>
      </c>
      <c r="B64" s="4">
        <v>31</v>
      </c>
      <c r="C64" s="4"/>
      <c r="D64" s="4" t="s">
        <v>19</v>
      </c>
      <c r="E64" s="4" t="s">
        <v>6</v>
      </c>
      <c r="F64">
        <f>COUNTIFS($D$2:D64,D64)</f>
        <v>4</v>
      </c>
      <c r="G64" t="str">
        <f t="shared" si="0"/>
        <v>3871A</v>
      </c>
      <c r="H64">
        <v>5.4547265999999999</v>
      </c>
      <c r="I64">
        <v>52.1752179</v>
      </c>
      <c r="J64" t="s">
        <v>319</v>
      </c>
      <c r="K64" t="s">
        <v>323</v>
      </c>
      <c r="L64" t="s">
        <v>19</v>
      </c>
      <c r="M64" t="s">
        <v>6</v>
      </c>
    </row>
    <row r="65" spans="1:13" x14ac:dyDescent="0.25">
      <c r="A65" s="3" t="s">
        <v>18</v>
      </c>
      <c r="B65" s="4">
        <v>31</v>
      </c>
      <c r="C65" s="4" t="s">
        <v>12</v>
      </c>
      <c r="D65" s="4" t="s">
        <v>19</v>
      </c>
      <c r="E65" s="4" t="s">
        <v>6</v>
      </c>
      <c r="F65">
        <f>COUNTIFS($D$2:D65,D65)</f>
        <v>5</v>
      </c>
      <c r="G65" t="str">
        <f t="shared" si="0"/>
        <v>3871A</v>
      </c>
      <c r="H65">
        <v>5.4547422000000001</v>
      </c>
      <c r="I65">
        <v>52.175165399999997</v>
      </c>
      <c r="J65" t="s">
        <v>319</v>
      </c>
      <c r="K65" t="s">
        <v>324</v>
      </c>
      <c r="L65" t="s">
        <v>19</v>
      </c>
      <c r="M65" t="s">
        <v>6</v>
      </c>
    </row>
    <row r="66" spans="1:13" x14ac:dyDescent="0.25">
      <c r="A66" s="3" t="s">
        <v>18</v>
      </c>
      <c r="B66" s="4">
        <v>41</v>
      </c>
      <c r="C66" s="4"/>
      <c r="D66" s="4" t="s">
        <v>19</v>
      </c>
      <c r="E66" s="4" t="s">
        <v>6</v>
      </c>
      <c r="F66">
        <f>COUNTIFS($D$2:D66,D66)</f>
        <v>6</v>
      </c>
      <c r="G66" t="str">
        <f t="shared" ref="G66:G129" si="1">LEFT(A66,5)</f>
        <v>3871A</v>
      </c>
      <c r="H66">
        <v>5.4538374000000003</v>
      </c>
      <c r="I66">
        <v>52.175043600000002</v>
      </c>
      <c r="J66" t="s">
        <v>319</v>
      </c>
      <c r="K66" t="s">
        <v>325</v>
      </c>
      <c r="L66" t="s">
        <v>19</v>
      </c>
      <c r="M66" t="s">
        <v>6</v>
      </c>
    </row>
    <row r="67" spans="1:13" x14ac:dyDescent="0.25">
      <c r="A67" s="3" t="s">
        <v>18</v>
      </c>
      <c r="B67" s="4">
        <v>43</v>
      </c>
      <c r="C67" s="4"/>
      <c r="D67" s="4" t="s">
        <v>19</v>
      </c>
      <c r="E67" s="4" t="s">
        <v>6</v>
      </c>
      <c r="F67">
        <f>COUNTIFS($D$2:D67,D67)</f>
        <v>7</v>
      </c>
      <c r="G67" t="str">
        <f t="shared" si="1"/>
        <v>3871A</v>
      </c>
      <c r="H67">
        <v>5.4537203999999999</v>
      </c>
      <c r="I67">
        <v>52.175025699999999</v>
      </c>
      <c r="J67" t="s">
        <v>319</v>
      </c>
      <c r="K67" t="s">
        <v>326</v>
      </c>
      <c r="L67" t="s">
        <v>19</v>
      </c>
      <c r="M67" t="s">
        <v>6</v>
      </c>
    </row>
    <row r="68" spans="1:13" x14ac:dyDescent="0.25">
      <c r="A68" s="3" t="s">
        <v>18</v>
      </c>
      <c r="B68" s="4">
        <v>45</v>
      </c>
      <c r="C68" s="4"/>
      <c r="D68" s="4" t="s">
        <v>19</v>
      </c>
      <c r="E68" s="4" t="s">
        <v>6</v>
      </c>
      <c r="F68">
        <f>COUNTIFS($D$2:D68,D68)</f>
        <v>8</v>
      </c>
      <c r="G68" t="str">
        <f t="shared" si="1"/>
        <v>3871A</v>
      </c>
      <c r="H68">
        <v>5.4535596000000002</v>
      </c>
      <c r="I68">
        <v>52.174998899999999</v>
      </c>
      <c r="J68" t="s">
        <v>319</v>
      </c>
      <c r="K68" t="s">
        <v>327</v>
      </c>
      <c r="L68" t="s">
        <v>19</v>
      </c>
      <c r="M68" t="s">
        <v>6</v>
      </c>
    </row>
    <row r="69" spans="1:13" x14ac:dyDescent="0.25">
      <c r="A69" s="3" t="s">
        <v>18</v>
      </c>
      <c r="B69" s="4">
        <v>47</v>
      </c>
      <c r="C69" s="4"/>
      <c r="D69" s="4" t="s">
        <v>19</v>
      </c>
      <c r="E69" s="4" t="s">
        <v>6</v>
      </c>
      <c r="F69">
        <f>COUNTIFS($D$2:D69,D69)</f>
        <v>9</v>
      </c>
      <c r="G69" t="str">
        <f t="shared" si="1"/>
        <v>3871A</v>
      </c>
      <c r="H69">
        <v>5.4534425999999998</v>
      </c>
      <c r="I69">
        <v>52.174980900000001</v>
      </c>
      <c r="J69" t="s">
        <v>319</v>
      </c>
      <c r="K69" t="s">
        <v>328</v>
      </c>
      <c r="L69" t="s">
        <v>19</v>
      </c>
      <c r="M69" t="s">
        <v>6</v>
      </c>
    </row>
    <row r="70" spans="1:13" x14ac:dyDescent="0.25">
      <c r="A70" s="3" t="s">
        <v>18</v>
      </c>
      <c r="B70" s="4">
        <v>49</v>
      </c>
      <c r="C70" s="4"/>
      <c r="D70" s="4" t="s">
        <v>19</v>
      </c>
      <c r="E70" s="4" t="s">
        <v>6</v>
      </c>
      <c r="F70">
        <f>COUNTIFS($D$2:D70,D70)</f>
        <v>10</v>
      </c>
      <c r="G70" t="str">
        <f t="shared" si="1"/>
        <v>3871A</v>
      </c>
      <c r="H70">
        <v>5.4532818000000001</v>
      </c>
      <c r="I70">
        <v>52.174963099999999</v>
      </c>
      <c r="J70" t="s">
        <v>319</v>
      </c>
      <c r="K70" t="s">
        <v>329</v>
      </c>
      <c r="L70" t="s">
        <v>19</v>
      </c>
      <c r="M70" t="s">
        <v>6</v>
      </c>
    </row>
    <row r="71" spans="1:13" x14ac:dyDescent="0.25">
      <c r="A71" s="3" t="s">
        <v>20</v>
      </c>
      <c r="B71" s="4">
        <v>51</v>
      </c>
      <c r="C71" s="4"/>
      <c r="D71" s="4" t="s">
        <v>19</v>
      </c>
      <c r="E71" s="4" t="s">
        <v>6</v>
      </c>
      <c r="F71">
        <f>COUNTIFS($D$2:D71,D71)</f>
        <v>11</v>
      </c>
      <c r="G71" t="str">
        <f t="shared" si="1"/>
        <v>3871A</v>
      </c>
      <c r="H71">
        <v>5.4531647999999997</v>
      </c>
      <c r="I71">
        <v>52.174945200000003</v>
      </c>
      <c r="J71" t="s">
        <v>330</v>
      </c>
      <c r="K71" t="s">
        <v>331</v>
      </c>
      <c r="L71" t="s">
        <v>19</v>
      </c>
      <c r="M71" t="s">
        <v>6</v>
      </c>
    </row>
    <row r="72" spans="1:13" x14ac:dyDescent="0.25">
      <c r="A72" s="3" t="s">
        <v>20</v>
      </c>
      <c r="B72" s="4">
        <v>53</v>
      </c>
      <c r="C72" s="4"/>
      <c r="D72" s="4" t="s">
        <v>19</v>
      </c>
      <c r="E72" s="4" t="s">
        <v>6</v>
      </c>
      <c r="F72">
        <f>COUNTIFS($D$2:D72,D72)</f>
        <v>12</v>
      </c>
      <c r="G72" t="str">
        <f t="shared" si="1"/>
        <v>3871A</v>
      </c>
      <c r="H72">
        <v>5.4530038999999997</v>
      </c>
      <c r="I72">
        <v>52.174909300000003</v>
      </c>
      <c r="J72" t="s">
        <v>330</v>
      </c>
      <c r="K72" t="s">
        <v>332</v>
      </c>
      <c r="L72" t="s">
        <v>19</v>
      </c>
      <c r="M72" t="s">
        <v>6</v>
      </c>
    </row>
    <row r="73" spans="1:13" x14ac:dyDescent="0.25">
      <c r="A73" s="3" t="s">
        <v>20</v>
      </c>
      <c r="B73" s="4">
        <v>55</v>
      </c>
      <c r="C73" s="4"/>
      <c r="D73" s="4" t="s">
        <v>19</v>
      </c>
      <c r="E73" s="4" t="s">
        <v>6</v>
      </c>
      <c r="F73">
        <f>COUNTIFS($D$2:D73,D73)</f>
        <v>13</v>
      </c>
      <c r="G73" t="str">
        <f t="shared" si="1"/>
        <v>3871A</v>
      </c>
      <c r="H73">
        <v>5.4526383000000003</v>
      </c>
      <c r="I73">
        <v>52.174819599999999</v>
      </c>
      <c r="J73" t="s">
        <v>330</v>
      </c>
      <c r="K73" t="s">
        <v>333</v>
      </c>
      <c r="L73" t="s">
        <v>19</v>
      </c>
      <c r="M73" t="s">
        <v>6</v>
      </c>
    </row>
    <row r="74" spans="1:13" x14ac:dyDescent="0.25">
      <c r="A74" s="3" t="s">
        <v>20</v>
      </c>
      <c r="B74" s="4">
        <v>57</v>
      </c>
      <c r="C74" s="4"/>
      <c r="D74" s="4" t="s">
        <v>19</v>
      </c>
      <c r="E74" s="4" t="s">
        <v>6</v>
      </c>
      <c r="F74">
        <f>COUNTIFS($D$2:D74,D74)</f>
        <v>14</v>
      </c>
      <c r="G74" t="str">
        <f t="shared" si="1"/>
        <v>3871A</v>
      </c>
      <c r="H74">
        <v>5.4525359</v>
      </c>
      <c r="I74">
        <v>52.174801700000003</v>
      </c>
      <c r="J74" t="s">
        <v>330</v>
      </c>
      <c r="K74" t="s">
        <v>334</v>
      </c>
      <c r="L74" t="s">
        <v>19</v>
      </c>
      <c r="M74" t="s">
        <v>6</v>
      </c>
    </row>
    <row r="75" spans="1:13" x14ac:dyDescent="0.25">
      <c r="A75" s="3" t="s">
        <v>20</v>
      </c>
      <c r="B75" s="4">
        <v>59</v>
      </c>
      <c r="C75" s="4"/>
      <c r="D75" s="4" t="s">
        <v>19</v>
      </c>
      <c r="E75" s="4" t="s">
        <v>6</v>
      </c>
      <c r="F75">
        <f>COUNTIFS($D$2:D75,D75)</f>
        <v>15</v>
      </c>
      <c r="G75" t="str">
        <f t="shared" si="1"/>
        <v>3871A</v>
      </c>
      <c r="H75">
        <v>5.4522727</v>
      </c>
      <c r="I75">
        <v>52.174738900000001</v>
      </c>
      <c r="J75" t="s">
        <v>330</v>
      </c>
      <c r="K75" t="s">
        <v>335</v>
      </c>
      <c r="L75" t="s">
        <v>19</v>
      </c>
      <c r="M75" t="s">
        <v>6</v>
      </c>
    </row>
    <row r="76" spans="1:13" x14ac:dyDescent="0.25">
      <c r="A76" s="3" t="s">
        <v>20</v>
      </c>
      <c r="B76" s="4">
        <v>61</v>
      </c>
      <c r="C76" s="4"/>
      <c r="D76" s="4" t="s">
        <v>19</v>
      </c>
      <c r="E76" s="4" t="s">
        <v>6</v>
      </c>
      <c r="F76">
        <f>COUNTIFS($D$2:D76,D76)</f>
        <v>16</v>
      </c>
      <c r="G76" t="str">
        <f t="shared" si="1"/>
        <v>3871A</v>
      </c>
      <c r="H76">
        <v>5.4520825999999998</v>
      </c>
      <c r="I76">
        <v>52.174721099999999</v>
      </c>
      <c r="J76" t="s">
        <v>330</v>
      </c>
      <c r="K76" t="s">
        <v>336</v>
      </c>
      <c r="L76" t="s">
        <v>19</v>
      </c>
      <c r="M76" t="s">
        <v>6</v>
      </c>
    </row>
    <row r="77" spans="1:13" x14ac:dyDescent="0.25">
      <c r="A77" s="3" t="s">
        <v>20</v>
      </c>
      <c r="B77" s="4">
        <v>61</v>
      </c>
      <c r="C77" s="4" t="s">
        <v>12</v>
      </c>
      <c r="D77" s="4" t="s">
        <v>19</v>
      </c>
      <c r="E77" s="4" t="s">
        <v>6</v>
      </c>
      <c r="F77">
        <f>COUNTIFS($D$2:D77,D77)</f>
        <v>17</v>
      </c>
      <c r="G77" t="str">
        <f t="shared" si="1"/>
        <v>3871A</v>
      </c>
      <c r="H77">
        <v>5.4517024999999997</v>
      </c>
      <c r="I77">
        <v>52.1746853</v>
      </c>
      <c r="J77" t="s">
        <v>330</v>
      </c>
      <c r="K77" t="s">
        <v>337</v>
      </c>
      <c r="L77" t="s">
        <v>19</v>
      </c>
      <c r="M77" t="s">
        <v>6</v>
      </c>
    </row>
    <row r="78" spans="1:13" x14ac:dyDescent="0.25">
      <c r="A78" s="3" t="s">
        <v>20</v>
      </c>
      <c r="B78" s="4">
        <v>61</v>
      </c>
      <c r="C78" s="4" t="s">
        <v>8</v>
      </c>
      <c r="D78" s="4" t="s">
        <v>19</v>
      </c>
      <c r="E78" s="4" t="s">
        <v>6</v>
      </c>
      <c r="F78">
        <f>COUNTIFS($D$2:D78,D78)</f>
        <v>18</v>
      </c>
      <c r="G78" t="str">
        <f t="shared" si="1"/>
        <v>3871A</v>
      </c>
      <c r="H78">
        <v>5.4518341000000001</v>
      </c>
      <c r="I78">
        <v>52.174703200000003</v>
      </c>
      <c r="J78" t="s">
        <v>330</v>
      </c>
      <c r="K78" t="s">
        <v>338</v>
      </c>
      <c r="L78" t="s">
        <v>19</v>
      </c>
      <c r="M78" t="s">
        <v>6</v>
      </c>
    </row>
    <row r="79" spans="1:13" x14ac:dyDescent="0.25">
      <c r="A79" s="3" t="s">
        <v>20</v>
      </c>
      <c r="B79" s="4">
        <v>63</v>
      </c>
      <c r="C79" s="4"/>
      <c r="D79" s="4" t="s">
        <v>19</v>
      </c>
      <c r="E79" s="4" t="s">
        <v>6</v>
      </c>
      <c r="F79">
        <f>COUNTIFS($D$2:D79,D79)</f>
        <v>19</v>
      </c>
      <c r="G79" t="str">
        <f t="shared" si="1"/>
        <v>3871A</v>
      </c>
      <c r="H79">
        <v>5.4513661999999998</v>
      </c>
      <c r="I79">
        <v>52.174631599999998</v>
      </c>
      <c r="J79" t="s">
        <v>330</v>
      </c>
      <c r="K79" t="s">
        <v>339</v>
      </c>
      <c r="L79" t="s">
        <v>19</v>
      </c>
      <c r="M79" t="s">
        <v>6</v>
      </c>
    </row>
    <row r="80" spans="1:13" x14ac:dyDescent="0.25">
      <c r="A80" s="3" t="s">
        <v>20</v>
      </c>
      <c r="B80" s="4">
        <v>71</v>
      </c>
      <c r="C80" s="4"/>
      <c r="D80" s="4" t="s">
        <v>19</v>
      </c>
      <c r="E80" s="4" t="s">
        <v>6</v>
      </c>
      <c r="F80">
        <f>COUNTIFS($D$2:D80,D80)</f>
        <v>20</v>
      </c>
      <c r="G80" t="str">
        <f t="shared" si="1"/>
        <v>3871A</v>
      </c>
      <c r="H80">
        <v>5.4482663999999996</v>
      </c>
      <c r="I80">
        <v>52.174246699999998</v>
      </c>
      <c r="J80" t="s">
        <v>330</v>
      </c>
      <c r="K80" t="s">
        <v>340</v>
      </c>
      <c r="L80" t="s">
        <v>19</v>
      </c>
      <c r="M80" t="s">
        <v>6</v>
      </c>
    </row>
    <row r="81" spans="1:13" x14ac:dyDescent="0.25">
      <c r="A81" s="3" t="s">
        <v>20</v>
      </c>
      <c r="B81" s="4">
        <v>73</v>
      </c>
      <c r="C81" s="4"/>
      <c r="D81" s="4" t="s">
        <v>19</v>
      </c>
      <c r="E81" s="4" t="s">
        <v>6</v>
      </c>
      <c r="F81">
        <f>COUNTIFS($D$2:D81,D81)</f>
        <v>21</v>
      </c>
      <c r="G81" t="str">
        <f t="shared" si="1"/>
        <v>3871A</v>
      </c>
      <c r="H81">
        <v>5.4481786999999997</v>
      </c>
      <c r="I81">
        <v>52.174201799999999</v>
      </c>
      <c r="J81" t="s">
        <v>330</v>
      </c>
      <c r="K81" t="s">
        <v>341</v>
      </c>
      <c r="L81" t="s">
        <v>19</v>
      </c>
      <c r="M81" t="s">
        <v>6</v>
      </c>
    </row>
    <row r="82" spans="1:13" x14ac:dyDescent="0.25">
      <c r="A82" s="3" t="s">
        <v>20</v>
      </c>
      <c r="B82" s="4">
        <v>77</v>
      </c>
      <c r="C82" s="4"/>
      <c r="D82" s="4" t="s">
        <v>19</v>
      </c>
      <c r="E82" s="4" t="s">
        <v>6</v>
      </c>
      <c r="F82">
        <f>COUNTIFS($D$2:D82,D82)</f>
        <v>22</v>
      </c>
      <c r="G82" t="str">
        <f t="shared" si="1"/>
        <v>3871A</v>
      </c>
      <c r="H82">
        <v>5.4477108000000003</v>
      </c>
      <c r="I82">
        <v>52.174148199999998</v>
      </c>
      <c r="J82" t="s">
        <v>330</v>
      </c>
      <c r="K82" t="s">
        <v>342</v>
      </c>
      <c r="L82" t="s">
        <v>19</v>
      </c>
      <c r="M82" t="s">
        <v>6</v>
      </c>
    </row>
    <row r="83" spans="1:13" x14ac:dyDescent="0.25">
      <c r="A83" s="3" t="s">
        <v>20</v>
      </c>
      <c r="B83" s="4">
        <v>79</v>
      </c>
      <c r="C83" s="4"/>
      <c r="D83" s="4" t="s">
        <v>19</v>
      </c>
      <c r="E83" s="4" t="s">
        <v>6</v>
      </c>
      <c r="F83">
        <f>COUNTIFS($D$2:D83,D83)</f>
        <v>23</v>
      </c>
      <c r="G83" t="str">
        <f t="shared" si="1"/>
        <v>3871A</v>
      </c>
      <c r="H83">
        <v>5.4475937999999999</v>
      </c>
      <c r="I83">
        <v>52.1741302</v>
      </c>
      <c r="J83" t="s">
        <v>330</v>
      </c>
      <c r="K83" t="s">
        <v>343</v>
      </c>
      <c r="L83" t="s">
        <v>19</v>
      </c>
      <c r="M83" t="s">
        <v>6</v>
      </c>
    </row>
    <row r="84" spans="1:13" x14ac:dyDescent="0.25">
      <c r="A84" s="3" t="s">
        <v>20</v>
      </c>
      <c r="B84" s="4">
        <v>81</v>
      </c>
      <c r="C84" s="4"/>
      <c r="D84" s="4" t="s">
        <v>19</v>
      </c>
      <c r="E84" s="4" t="s">
        <v>6</v>
      </c>
      <c r="F84">
        <f>COUNTIFS($D$2:D84,D84)</f>
        <v>24</v>
      </c>
      <c r="G84" t="str">
        <f t="shared" si="1"/>
        <v>3871A</v>
      </c>
      <c r="H84">
        <v>5.4472867999999997</v>
      </c>
      <c r="I84">
        <v>52.174094500000002</v>
      </c>
      <c r="J84" t="s">
        <v>330</v>
      </c>
      <c r="K84" t="s">
        <v>344</v>
      </c>
      <c r="L84" t="s">
        <v>19</v>
      </c>
      <c r="M84" t="s">
        <v>6</v>
      </c>
    </row>
    <row r="85" spans="1:13" x14ac:dyDescent="0.25">
      <c r="A85" s="3" t="s">
        <v>20</v>
      </c>
      <c r="B85" s="4">
        <v>83</v>
      </c>
      <c r="C85" s="4"/>
      <c r="D85" s="4" t="s">
        <v>19</v>
      </c>
      <c r="E85" s="4" t="s">
        <v>6</v>
      </c>
      <c r="F85">
        <f>COUNTIFS($D$2:D85,D85)</f>
        <v>25</v>
      </c>
      <c r="G85" t="str">
        <f t="shared" si="1"/>
        <v>3871A</v>
      </c>
      <c r="H85">
        <v>5.4470673999999999</v>
      </c>
      <c r="I85">
        <v>52.174067600000001</v>
      </c>
      <c r="J85" t="s">
        <v>330</v>
      </c>
      <c r="K85" t="s">
        <v>345</v>
      </c>
      <c r="L85" t="s">
        <v>19</v>
      </c>
      <c r="M85" t="s">
        <v>6</v>
      </c>
    </row>
    <row r="86" spans="1:13" x14ac:dyDescent="0.25">
      <c r="A86" s="3" t="s">
        <v>20</v>
      </c>
      <c r="B86" s="4">
        <v>85</v>
      </c>
      <c r="C86" s="4"/>
      <c r="D86" s="4" t="s">
        <v>19</v>
      </c>
      <c r="E86" s="4" t="s">
        <v>6</v>
      </c>
      <c r="F86">
        <f>COUNTIFS($D$2:D86,D86)</f>
        <v>26</v>
      </c>
      <c r="G86" t="str">
        <f t="shared" si="1"/>
        <v>3871A</v>
      </c>
      <c r="H86">
        <v>5.4469650999999999</v>
      </c>
      <c r="I86">
        <v>52.174058700000003</v>
      </c>
      <c r="J86" t="s">
        <v>330</v>
      </c>
      <c r="K86" t="s">
        <v>346</v>
      </c>
      <c r="L86" t="s">
        <v>19</v>
      </c>
      <c r="M86" t="s">
        <v>6</v>
      </c>
    </row>
    <row r="87" spans="1:13" x14ac:dyDescent="0.25">
      <c r="A87" s="3" t="s">
        <v>21</v>
      </c>
      <c r="B87" s="4">
        <v>99</v>
      </c>
      <c r="C87" s="4"/>
      <c r="D87" s="4" t="s">
        <v>19</v>
      </c>
      <c r="E87" s="4" t="s">
        <v>6</v>
      </c>
      <c r="F87">
        <f>COUNTIFS($D$2:D87,D87)</f>
        <v>27</v>
      </c>
      <c r="G87" t="str">
        <f t="shared" si="1"/>
        <v>3871A</v>
      </c>
      <c r="H87">
        <v>5.4413796999999997</v>
      </c>
      <c r="I87">
        <v>52.173207499999997</v>
      </c>
      <c r="J87" t="s">
        <v>347</v>
      </c>
      <c r="K87" t="s">
        <v>348</v>
      </c>
      <c r="L87" t="s">
        <v>19</v>
      </c>
      <c r="M87" t="s">
        <v>6</v>
      </c>
    </row>
    <row r="88" spans="1:13" x14ac:dyDescent="0.25">
      <c r="A88" s="3" t="s">
        <v>21</v>
      </c>
      <c r="B88" s="4">
        <v>101</v>
      </c>
      <c r="C88" s="4"/>
      <c r="D88" s="4" t="s">
        <v>19</v>
      </c>
      <c r="E88" s="4" t="s">
        <v>6</v>
      </c>
      <c r="F88">
        <f>COUNTIFS($D$2:D88,D88)</f>
        <v>28</v>
      </c>
      <c r="G88" t="str">
        <f t="shared" si="1"/>
        <v>3871A</v>
      </c>
      <c r="H88">
        <v>5.4405900000000003</v>
      </c>
      <c r="I88">
        <v>52.1729293</v>
      </c>
      <c r="J88" t="s">
        <v>347</v>
      </c>
      <c r="K88" t="s">
        <v>349</v>
      </c>
      <c r="L88" t="s">
        <v>19</v>
      </c>
      <c r="M88" t="s">
        <v>6</v>
      </c>
    </row>
    <row r="89" spans="1:13" x14ac:dyDescent="0.25">
      <c r="A89" s="3" t="s">
        <v>21</v>
      </c>
      <c r="B89" s="4">
        <v>103</v>
      </c>
      <c r="C89" s="4"/>
      <c r="D89" s="4" t="s">
        <v>19</v>
      </c>
      <c r="E89" s="4" t="s">
        <v>6</v>
      </c>
      <c r="F89">
        <f>COUNTIFS($D$2:D89,D89)</f>
        <v>29</v>
      </c>
      <c r="G89" t="str">
        <f t="shared" si="1"/>
        <v>3871A</v>
      </c>
      <c r="H89">
        <v>5.4402539000000001</v>
      </c>
      <c r="I89">
        <v>52.1730552</v>
      </c>
      <c r="J89" t="s">
        <v>347</v>
      </c>
      <c r="K89" t="s">
        <v>350</v>
      </c>
      <c r="L89" t="s">
        <v>19</v>
      </c>
      <c r="M89" t="s">
        <v>6</v>
      </c>
    </row>
    <row r="90" spans="1:13" x14ac:dyDescent="0.25">
      <c r="A90" s="3" t="s">
        <v>21</v>
      </c>
      <c r="B90" s="4">
        <v>105</v>
      </c>
      <c r="C90" s="4"/>
      <c r="D90" s="4" t="s">
        <v>19</v>
      </c>
      <c r="E90" s="4" t="s">
        <v>6</v>
      </c>
      <c r="F90">
        <f>COUNTIFS($D$2:D90,D90)</f>
        <v>30</v>
      </c>
      <c r="G90" t="str">
        <f t="shared" si="1"/>
        <v>3871A</v>
      </c>
      <c r="H90">
        <v>5.4400054000000004</v>
      </c>
      <c r="I90">
        <v>52.173091300000003</v>
      </c>
      <c r="J90" t="s">
        <v>347</v>
      </c>
      <c r="K90" t="s">
        <v>351</v>
      </c>
      <c r="L90" t="s">
        <v>19</v>
      </c>
      <c r="M90" t="s">
        <v>6</v>
      </c>
    </row>
    <row r="91" spans="1:13" x14ac:dyDescent="0.25">
      <c r="A91" s="3" t="s">
        <v>21</v>
      </c>
      <c r="B91" s="4">
        <v>105</v>
      </c>
      <c r="C91" s="4" t="s">
        <v>8</v>
      </c>
      <c r="D91" s="4" t="s">
        <v>19</v>
      </c>
      <c r="E91" s="4" t="s">
        <v>6</v>
      </c>
      <c r="F91">
        <f>COUNTIFS($D$2:D91,D91)</f>
        <v>31</v>
      </c>
      <c r="G91" t="str">
        <f t="shared" si="1"/>
        <v>3871A</v>
      </c>
      <c r="H91">
        <v>5.4397276000000003</v>
      </c>
      <c r="I91">
        <v>52.173019500000002</v>
      </c>
      <c r="J91" t="s">
        <v>347</v>
      </c>
      <c r="K91" t="s">
        <v>352</v>
      </c>
      <c r="L91" t="s">
        <v>19</v>
      </c>
      <c r="M91" t="s">
        <v>6</v>
      </c>
    </row>
    <row r="92" spans="1:13" x14ac:dyDescent="0.25">
      <c r="A92" s="3" t="s">
        <v>21</v>
      </c>
      <c r="B92" s="4">
        <v>107</v>
      </c>
      <c r="C92" s="4"/>
      <c r="D92" s="4" t="s">
        <v>19</v>
      </c>
      <c r="E92" s="4" t="s">
        <v>6</v>
      </c>
      <c r="F92">
        <f>COUNTIFS($D$2:D92,D92)</f>
        <v>32</v>
      </c>
      <c r="G92" t="str">
        <f t="shared" si="1"/>
        <v>3871A</v>
      </c>
      <c r="H92">
        <v>5.4393327999999999</v>
      </c>
      <c r="I92">
        <v>52.172956800000001</v>
      </c>
      <c r="J92" t="s">
        <v>347</v>
      </c>
      <c r="K92" t="s">
        <v>353</v>
      </c>
      <c r="L92" t="s">
        <v>19</v>
      </c>
      <c r="M92" t="s">
        <v>6</v>
      </c>
    </row>
    <row r="93" spans="1:13" x14ac:dyDescent="0.25">
      <c r="A93" s="3" t="s">
        <v>22</v>
      </c>
      <c r="B93" s="4">
        <v>1</v>
      </c>
      <c r="C93" s="4"/>
      <c r="D93" s="4" t="s">
        <v>23</v>
      </c>
      <c r="E93" s="4" t="s">
        <v>6</v>
      </c>
      <c r="F93">
        <f>COUNTIFS($D$2:D93,D93)</f>
        <v>1</v>
      </c>
      <c r="G93" t="str">
        <f t="shared" si="1"/>
        <v>3871B</v>
      </c>
      <c r="H93">
        <v>5.4530475000000003</v>
      </c>
      <c r="I93">
        <v>52.174720499999999</v>
      </c>
      <c r="J93" t="s">
        <v>354</v>
      </c>
      <c r="K93" t="s">
        <v>355</v>
      </c>
      <c r="L93" t="s">
        <v>23</v>
      </c>
      <c r="M93" t="s">
        <v>6</v>
      </c>
    </row>
    <row r="94" spans="1:13" x14ac:dyDescent="0.25">
      <c r="A94" s="3" t="s">
        <v>22</v>
      </c>
      <c r="B94" s="4">
        <v>3</v>
      </c>
      <c r="C94" s="4"/>
      <c r="D94" s="4" t="s">
        <v>23</v>
      </c>
      <c r="E94" s="4" t="s">
        <v>6</v>
      </c>
      <c r="F94">
        <f>COUNTIFS($D$2:D94,D94)</f>
        <v>2</v>
      </c>
      <c r="G94" t="str">
        <f t="shared" si="1"/>
        <v>3871B</v>
      </c>
      <c r="H94">
        <v>5.4530620000000001</v>
      </c>
      <c r="I94">
        <v>52.174639599999999</v>
      </c>
      <c r="J94" t="s">
        <v>354</v>
      </c>
      <c r="K94" t="s">
        <v>356</v>
      </c>
      <c r="L94" t="s">
        <v>23</v>
      </c>
      <c r="M94" t="s">
        <v>6</v>
      </c>
    </row>
    <row r="95" spans="1:13" x14ac:dyDescent="0.25">
      <c r="A95" s="3" t="s">
        <v>22</v>
      </c>
      <c r="B95" s="4">
        <v>5</v>
      </c>
      <c r="C95" s="4"/>
      <c r="D95" s="4" t="s">
        <v>23</v>
      </c>
      <c r="E95" s="4" t="s">
        <v>6</v>
      </c>
      <c r="F95">
        <f>COUNTIFS($D$2:D95,D95)</f>
        <v>3</v>
      </c>
      <c r="G95" t="str">
        <f t="shared" si="1"/>
        <v>3871B</v>
      </c>
      <c r="H95">
        <v>5.4530618000000004</v>
      </c>
      <c r="I95">
        <v>52.174540800000003</v>
      </c>
      <c r="J95" t="s">
        <v>354</v>
      </c>
      <c r="K95" t="s">
        <v>357</v>
      </c>
      <c r="L95" t="s">
        <v>23</v>
      </c>
      <c r="M95" t="s">
        <v>6</v>
      </c>
    </row>
    <row r="96" spans="1:13" x14ac:dyDescent="0.25">
      <c r="A96" s="3" t="s">
        <v>22</v>
      </c>
      <c r="B96" s="4">
        <v>7</v>
      </c>
      <c r="C96" s="4"/>
      <c r="D96" s="4" t="s">
        <v>23</v>
      </c>
      <c r="E96" s="4" t="s">
        <v>6</v>
      </c>
      <c r="F96">
        <f>COUNTIFS($D$2:D96,D96)</f>
        <v>4</v>
      </c>
      <c r="G96" t="str">
        <f t="shared" si="1"/>
        <v>3871B</v>
      </c>
      <c r="H96">
        <v>5.4530617000000001</v>
      </c>
      <c r="I96">
        <v>52.174468900000001</v>
      </c>
      <c r="J96" t="s">
        <v>354</v>
      </c>
      <c r="K96" t="s">
        <v>358</v>
      </c>
      <c r="L96" t="s">
        <v>23</v>
      </c>
      <c r="M96" t="s">
        <v>6</v>
      </c>
    </row>
    <row r="97" spans="1:13" x14ac:dyDescent="0.25">
      <c r="A97" s="3" t="s">
        <v>22</v>
      </c>
      <c r="B97" s="4">
        <v>13</v>
      </c>
      <c r="C97" s="4"/>
      <c r="D97" s="4" t="s">
        <v>23</v>
      </c>
      <c r="E97" s="4" t="s">
        <v>6</v>
      </c>
      <c r="F97">
        <f>COUNTIFS($D$2:D97,D97)</f>
        <v>5</v>
      </c>
      <c r="G97" t="str">
        <f t="shared" si="1"/>
        <v>3871B</v>
      </c>
      <c r="H97">
        <v>5.4530759</v>
      </c>
      <c r="I97">
        <v>52.174136300000001</v>
      </c>
      <c r="J97" t="s">
        <v>354</v>
      </c>
      <c r="K97" t="s">
        <v>359</v>
      </c>
      <c r="L97" t="s">
        <v>23</v>
      </c>
      <c r="M97" t="s">
        <v>6</v>
      </c>
    </row>
    <row r="98" spans="1:13" x14ac:dyDescent="0.25">
      <c r="A98" s="3" t="s">
        <v>22</v>
      </c>
      <c r="B98" s="4">
        <v>17</v>
      </c>
      <c r="C98" s="4"/>
      <c r="D98" s="4" t="s">
        <v>23</v>
      </c>
      <c r="E98" s="4" t="s">
        <v>6</v>
      </c>
      <c r="F98">
        <f>COUNTIFS($D$2:D98,D98)</f>
        <v>6</v>
      </c>
      <c r="G98" t="str">
        <f t="shared" si="1"/>
        <v>3871B</v>
      </c>
      <c r="H98">
        <v>5.4531194000000003</v>
      </c>
      <c r="I98">
        <v>52.173911599999997</v>
      </c>
      <c r="J98" t="s">
        <v>354</v>
      </c>
      <c r="K98" t="s">
        <v>360</v>
      </c>
      <c r="L98" t="s">
        <v>23</v>
      </c>
      <c r="M98" t="s">
        <v>6</v>
      </c>
    </row>
    <row r="99" spans="1:13" x14ac:dyDescent="0.25">
      <c r="A99" s="3" t="s">
        <v>22</v>
      </c>
      <c r="B99" s="4">
        <v>19</v>
      </c>
      <c r="C99" s="4"/>
      <c r="D99" s="4" t="s">
        <v>23</v>
      </c>
      <c r="E99" s="4" t="s">
        <v>6</v>
      </c>
      <c r="F99">
        <f>COUNTIFS($D$2:D99,D99)</f>
        <v>7</v>
      </c>
      <c r="G99" t="str">
        <f t="shared" si="1"/>
        <v>3871B</v>
      </c>
      <c r="H99">
        <v>5.4531193</v>
      </c>
      <c r="I99">
        <v>52.173830700000003</v>
      </c>
      <c r="J99" t="s">
        <v>354</v>
      </c>
      <c r="K99" t="s">
        <v>361</v>
      </c>
      <c r="L99" t="s">
        <v>23</v>
      </c>
      <c r="M99" t="s">
        <v>6</v>
      </c>
    </row>
    <row r="100" spans="1:13" x14ac:dyDescent="0.25">
      <c r="A100" s="3" t="s">
        <v>22</v>
      </c>
      <c r="B100" s="4">
        <v>21</v>
      </c>
      <c r="C100" s="4"/>
      <c r="D100" s="4" t="s">
        <v>23</v>
      </c>
      <c r="E100" s="4" t="s">
        <v>6</v>
      </c>
      <c r="F100">
        <f>COUNTIFS($D$2:D100,D100)</f>
        <v>8</v>
      </c>
      <c r="G100" t="str">
        <f t="shared" si="1"/>
        <v>3871B</v>
      </c>
      <c r="H100">
        <v>5.4531482999999996</v>
      </c>
      <c r="I100">
        <v>52.173695799999997</v>
      </c>
      <c r="J100" t="s">
        <v>354</v>
      </c>
      <c r="K100" t="s">
        <v>362</v>
      </c>
      <c r="L100" t="s">
        <v>23</v>
      </c>
      <c r="M100" t="s">
        <v>6</v>
      </c>
    </row>
    <row r="101" spans="1:13" x14ac:dyDescent="0.25">
      <c r="A101" s="3" t="s">
        <v>24</v>
      </c>
      <c r="B101" s="4">
        <v>29</v>
      </c>
      <c r="C101" s="4"/>
      <c r="D101" s="4" t="s">
        <v>23</v>
      </c>
      <c r="E101" s="4" t="s">
        <v>6</v>
      </c>
      <c r="F101">
        <f>COUNTIFS($D$2:D101,D101)</f>
        <v>9</v>
      </c>
      <c r="G101" t="str">
        <f t="shared" si="1"/>
        <v>3871B</v>
      </c>
      <c r="H101">
        <v>5.4529562</v>
      </c>
      <c r="I101">
        <v>52.172302799999997</v>
      </c>
      <c r="J101" t="s">
        <v>363</v>
      </c>
      <c r="K101" t="s">
        <v>364</v>
      </c>
      <c r="L101" t="s">
        <v>23</v>
      </c>
      <c r="M101" t="s">
        <v>6</v>
      </c>
    </row>
    <row r="102" spans="1:13" x14ac:dyDescent="0.25">
      <c r="A102" s="3" t="s">
        <v>24</v>
      </c>
      <c r="B102" s="4">
        <v>31</v>
      </c>
      <c r="C102" s="4"/>
      <c r="D102" s="4" t="s">
        <v>23</v>
      </c>
      <c r="E102" s="4" t="s">
        <v>6</v>
      </c>
      <c r="F102">
        <f>COUNTIFS($D$2:D102,D102)</f>
        <v>10</v>
      </c>
      <c r="G102" t="str">
        <f t="shared" si="1"/>
        <v>3871B</v>
      </c>
      <c r="H102">
        <v>5.4528394000000002</v>
      </c>
      <c r="I102">
        <v>52.172365800000001</v>
      </c>
      <c r="J102" t="s">
        <v>363</v>
      </c>
      <c r="K102" t="s">
        <v>323</v>
      </c>
      <c r="L102" t="s">
        <v>23</v>
      </c>
      <c r="M102" t="s">
        <v>6</v>
      </c>
    </row>
    <row r="103" spans="1:13" x14ac:dyDescent="0.25">
      <c r="A103" s="3" t="s">
        <v>24</v>
      </c>
      <c r="B103" s="4">
        <v>33</v>
      </c>
      <c r="C103" s="4"/>
      <c r="D103" s="4" t="s">
        <v>23</v>
      </c>
      <c r="E103" s="4" t="s">
        <v>6</v>
      </c>
      <c r="F103">
        <f>COUNTIFS($D$2:D103,D103)</f>
        <v>11</v>
      </c>
      <c r="G103" t="str">
        <f t="shared" si="1"/>
        <v>3871B</v>
      </c>
      <c r="H103">
        <v>5.4528828999999996</v>
      </c>
      <c r="I103">
        <v>52.172176999999998</v>
      </c>
      <c r="J103" t="s">
        <v>363</v>
      </c>
      <c r="K103" t="s">
        <v>365</v>
      </c>
      <c r="L103" t="s">
        <v>23</v>
      </c>
      <c r="M103" t="s">
        <v>6</v>
      </c>
    </row>
    <row r="104" spans="1:13" x14ac:dyDescent="0.25">
      <c r="A104" s="3" t="s">
        <v>24</v>
      </c>
      <c r="B104" s="4">
        <v>35</v>
      </c>
      <c r="C104" s="4"/>
      <c r="D104" s="4" t="s">
        <v>23</v>
      </c>
      <c r="E104" s="4" t="s">
        <v>6</v>
      </c>
      <c r="F104">
        <f>COUNTIFS($D$2:D104,D104)</f>
        <v>12</v>
      </c>
      <c r="G104" t="str">
        <f t="shared" si="1"/>
        <v>3871B</v>
      </c>
      <c r="H104">
        <v>5.4528682000000002</v>
      </c>
      <c r="I104">
        <v>52.172078200000001</v>
      </c>
      <c r="J104" t="s">
        <v>363</v>
      </c>
      <c r="K104" t="s">
        <v>366</v>
      </c>
      <c r="L104" t="s">
        <v>23</v>
      </c>
      <c r="M104" t="s">
        <v>6</v>
      </c>
    </row>
    <row r="105" spans="1:13" x14ac:dyDescent="0.25">
      <c r="A105" s="3" t="s">
        <v>24</v>
      </c>
      <c r="B105" s="4">
        <v>37</v>
      </c>
      <c r="C105" s="4"/>
      <c r="D105" s="4" t="s">
        <v>23</v>
      </c>
      <c r="E105" s="4" t="s">
        <v>6</v>
      </c>
      <c r="F105">
        <f>COUNTIFS($D$2:D105,D105)</f>
        <v>13</v>
      </c>
      <c r="G105" t="str">
        <f t="shared" si="1"/>
        <v>3871B</v>
      </c>
      <c r="H105">
        <v>5.4527510000000001</v>
      </c>
      <c r="I105">
        <v>52.171934399999998</v>
      </c>
      <c r="J105" t="s">
        <v>363</v>
      </c>
      <c r="K105" t="s">
        <v>367</v>
      </c>
      <c r="L105" t="s">
        <v>23</v>
      </c>
      <c r="M105" t="s">
        <v>6</v>
      </c>
    </row>
    <row r="106" spans="1:13" x14ac:dyDescent="0.25">
      <c r="A106" s="3" t="s">
        <v>24</v>
      </c>
      <c r="B106" s="4">
        <v>39</v>
      </c>
      <c r="C106" s="4"/>
      <c r="D106" s="4" t="s">
        <v>23</v>
      </c>
      <c r="E106" s="4" t="s">
        <v>6</v>
      </c>
      <c r="F106">
        <f>COUNTIFS($D$2:D106,D106)</f>
        <v>14</v>
      </c>
      <c r="G106" t="str">
        <f t="shared" si="1"/>
        <v>3871B</v>
      </c>
      <c r="H106">
        <v>5.4528971000000004</v>
      </c>
      <c r="I106">
        <v>52.171862500000003</v>
      </c>
      <c r="J106" t="s">
        <v>363</v>
      </c>
      <c r="K106" t="s">
        <v>368</v>
      </c>
      <c r="L106" t="s">
        <v>23</v>
      </c>
      <c r="M106" t="s">
        <v>6</v>
      </c>
    </row>
    <row r="107" spans="1:13" x14ac:dyDescent="0.25">
      <c r="A107" s="3" t="s">
        <v>24</v>
      </c>
      <c r="B107" s="4">
        <v>41</v>
      </c>
      <c r="C107" s="4"/>
      <c r="D107" s="4" t="s">
        <v>23</v>
      </c>
      <c r="E107" s="4" t="s">
        <v>6</v>
      </c>
      <c r="F107">
        <f>COUNTIFS($D$2:D107,D107)</f>
        <v>15</v>
      </c>
      <c r="G107" t="str">
        <f t="shared" si="1"/>
        <v>3871B</v>
      </c>
      <c r="H107">
        <v>5.4530434000000003</v>
      </c>
      <c r="I107">
        <v>52.171961199999998</v>
      </c>
      <c r="J107" t="s">
        <v>363</v>
      </c>
      <c r="K107" t="s">
        <v>325</v>
      </c>
      <c r="L107" t="s">
        <v>23</v>
      </c>
      <c r="M107" t="s">
        <v>6</v>
      </c>
    </row>
    <row r="108" spans="1:13" x14ac:dyDescent="0.25">
      <c r="A108" s="3" t="s">
        <v>24</v>
      </c>
      <c r="B108" s="4">
        <v>43</v>
      </c>
      <c r="C108" s="4"/>
      <c r="D108" s="4" t="s">
        <v>23</v>
      </c>
      <c r="E108" s="4" t="s">
        <v>6</v>
      </c>
      <c r="F108">
        <f>COUNTIFS($D$2:D108,D108)</f>
        <v>16</v>
      </c>
      <c r="G108" t="str">
        <f t="shared" si="1"/>
        <v>3871B</v>
      </c>
      <c r="H108">
        <v>5.4530428999999998</v>
      </c>
      <c r="I108">
        <v>52.171646699999997</v>
      </c>
      <c r="J108" t="s">
        <v>363</v>
      </c>
      <c r="K108" t="s">
        <v>326</v>
      </c>
      <c r="L108" t="s">
        <v>23</v>
      </c>
      <c r="M108" t="s">
        <v>6</v>
      </c>
    </row>
    <row r="109" spans="1:13" x14ac:dyDescent="0.25">
      <c r="A109" s="3" t="s">
        <v>24</v>
      </c>
      <c r="B109" s="4">
        <v>45</v>
      </c>
      <c r="C109" s="4"/>
      <c r="D109" s="4" t="s">
        <v>23</v>
      </c>
      <c r="E109" s="4" t="s">
        <v>6</v>
      </c>
      <c r="F109">
        <f>COUNTIFS($D$2:D109,D109)</f>
        <v>17</v>
      </c>
      <c r="G109" t="str">
        <f t="shared" si="1"/>
        <v>3871B</v>
      </c>
      <c r="H109">
        <v>5.4529407000000001</v>
      </c>
      <c r="I109">
        <v>52.171691699999997</v>
      </c>
      <c r="J109" t="s">
        <v>363</v>
      </c>
      <c r="K109" t="s">
        <v>327</v>
      </c>
      <c r="L109" t="s">
        <v>23</v>
      </c>
      <c r="M109" t="s">
        <v>6</v>
      </c>
    </row>
    <row r="110" spans="1:13" x14ac:dyDescent="0.25">
      <c r="A110" s="3" t="s">
        <v>24</v>
      </c>
      <c r="B110" s="4">
        <v>47</v>
      </c>
      <c r="C110" s="4"/>
      <c r="D110" s="4" t="s">
        <v>23</v>
      </c>
      <c r="E110" s="4" t="s">
        <v>6</v>
      </c>
      <c r="F110">
        <f>COUNTIFS($D$2:D110,D110)</f>
        <v>18</v>
      </c>
      <c r="G110" t="str">
        <f t="shared" si="1"/>
        <v>3871B</v>
      </c>
      <c r="H110">
        <v>5.4527796999999998</v>
      </c>
      <c r="I110">
        <v>52.171583900000002</v>
      </c>
      <c r="J110" t="s">
        <v>363</v>
      </c>
      <c r="K110" t="s">
        <v>328</v>
      </c>
      <c r="L110" t="s">
        <v>23</v>
      </c>
      <c r="M110" t="s">
        <v>6</v>
      </c>
    </row>
    <row r="111" spans="1:13" x14ac:dyDescent="0.25">
      <c r="A111" s="3" t="s">
        <v>24</v>
      </c>
      <c r="B111" s="4">
        <v>49</v>
      </c>
      <c r="C111" s="4"/>
      <c r="D111" s="4" t="s">
        <v>23</v>
      </c>
      <c r="E111" s="4" t="s">
        <v>6</v>
      </c>
      <c r="F111">
        <f>COUNTIFS($D$2:D111,D111)</f>
        <v>19</v>
      </c>
      <c r="G111" t="str">
        <f t="shared" si="1"/>
        <v>3871B</v>
      </c>
      <c r="H111">
        <v>5.4528964999999996</v>
      </c>
      <c r="I111">
        <v>52.171493900000002</v>
      </c>
      <c r="J111" t="s">
        <v>363</v>
      </c>
      <c r="K111" t="s">
        <v>329</v>
      </c>
      <c r="L111" t="s">
        <v>23</v>
      </c>
      <c r="M111" t="s">
        <v>6</v>
      </c>
    </row>
    <row r="112" spans="1:13" x14ac:dyDescent="0.25">
      <c r="A112" s="3" t="s">
        <v>24</v>
      </c>
      <c r="B112" s="4">
        <v>51</v>
      </c>
      <c r="C112" s="4"/>
      <c r="D112" s="4" t="s">
        <v>23</v>
      </c>
      <c r="E112" s="4" t="s">
        <v>6</v>
      </c>
      <c r="F112">
        <f>COUNTIFS($D$2:D112,D112)</f>
        <v>20</v>
      </c>
      <c r="G112" t="str">
        <f t="shared" si="1"/>
        <v>3871B</v>
      </c>
      <c r="H112">
        <v>5.4529110000000003</v>
      </c>
      <c r="I112">
        <v>52.171395099999998</v>
      </c>
      <c r="J112" t="s">
        <v>363</v>
      </c>
      <c r="K112" t="s">
        <v>331</v>
      </c>
      <c r="L112" t="s">
        <v>23</v>
      </c>
      <c r="M112" t="s">
        <v>6</v>
      </c>
    </row>
    <row r="113" spans="1:13" x14ac:dyDescent="0.25">
      <c r="A113" s="3" t="s">
        <v>25</v>
      </c>
      <c r="B113" s="4">
        <v>2</v>
      </c>
      <c r="C113" s="4"/>
      <c r="D113" s="4" t="s">
        <v>23</v>
      </c>
      <c r="E113" s="4" t="s">
        <v>6</v>
      </c>
      <c r="F113">
        <f>COUNTIFS($D$2:D113,D113)</f>
        <v>21</v>
      </c>
      <c r="G113" t="str">
        <f t="shared" si="1"/>
        <v>3871B</v>
      </c>
      <c r="H113">
        <v>5.4526085999999996</v>
      </c>
      <c r="I113">
        <v>52.174531999999999</v>
      </c>
      <c r="J113" t="s">
        <v>369</v>
      </c>
      <c r="K113" t="s">
        <v>370</v>
      </c>
      <c r="L113" t="s">
        <v>23</v>
      </c>
      <c r="M113" t="s">
        <v>6</v>
      </c>
    </row>
    <row r="114" spans="1:13" x14ac:dyDescent="0.25">
      <c r="A114" s="3" t="s">
        <v>25</v>
      </c>
      <c r="B114" s="4">
        <v>4</v>
      </c>
      <c r="C114" s="4"/>
      <c r="D114" s="4" t="s">
        <v>23</v>
      </c>
      <c r="E114" s="4" t="s">
        <v>6</v>
      </c>
      <c r="F114">
        <f>COUNTIFS($D$2:D114,D114)</f>
        <v>22</v>
      </c>
      <c r="G114" t="str">
        <f t="shared" si="1"/>
        <v>3871B</v>
      </c>
      <c r="H114">
        <v>5.4526231000000003</v>
      </c>
      <c r="I114">
        <v>52.174415199999999</v>
      </c>
      <c r="J114" t="s">
        <v>369</v>
      </c>
      <c r="K114" t="s">
        <v>260</v>
      </c>
      <c r="L114" t="s">
        <v>23</v>
      </c>
      <c r="M114" t="s">
        <v>6</v>
      </c>
    </row>
    <row r="115" spans="1:13" x14ac:dyDescent="0.25">
      <c r="A115" s="3" t="s">
        <v>25</v>
      </c>
      <c r="B115" s="4">
        <v>6</v>
      </c>
      <c r="C115" s="4"/>
      <c r="D115" s="4" t="s">
        <v>23</v>
      </c>
      <c r="E115" s="4" t="s">
        <v>6</v>
      </c>
      <c r="F115">
        <f>COUNTIFS($D$2:D115,D115)</f>
        <v>23</v>
      </c>
      <c r="G115" t="str">
        <f t="shared" si="1"/>
        <v>3871B</v>
      </c>
      <c r="H115">
        <v>5.4526376000000001</v>
      </c>
      <c r="I115">
        <v>52.174334299999998</v>
      </c>
      <c r="J115" t="s">
        <v>369</v>
      </c>
      <c r="K115" t="s">
        <v>262</v>
      </c>
      <c r="L115" t="s">
        <v>23</v>
      </c>
      <c r="M115" t="s">
        <v>6</v>
      </c>
    </row>
    <row r="116" spans="1:13" x14ac:dyDescent="0.25">
      <c r="A116" s="3" t="s">
        <v>25</v>
      </c>
      <c r="B116" s="4">
        <v>8</v>
      </c>
      <c r="C116" s="4"/>
      <c r="D116" s="4" t="s">
        <v>23</v>
      </c>
      <c r="E116" s="4" t="s">
        <v>6</v>
      </c>
      <c r="F116">
        <f>COUNTIFS($D$2:D116,D116)</f>
        <v>24</v>
      </c>
      <c r="G116" t="str">
        <f t="shared" si="1"/>
        <v>3871B</v>
      </c>
      <c r="H116">
        <v>5.4526520999999999</v>
      </c>
      <c r="I116">
        <v>52.174244399999999</v>
      </c>
      <c r="J116" t="s">
        <v>369</v>
      </c>
      <c r="K116" t="s">
        <v>263</v>
      </c>
      <c r="L116" t="s">
        <v>23</v>
      </c>
      <c r="M116" t="s">
        <v>6</v>
      </c>
    </row>
    <row r="117" spans="1:13" x14ac:dyDescent="0.25">
      <c r="A117" s="3" t="s">
        <v>25</v>
      </c>
      <c r="B117" s="4">
        <v>10</v>
      </c>
      <c r="C117" s="4"/>
      <c r="D117" s="4" t="s">
        <v>23</v>
      </c>
      <c r="E117" s="4" t="s">
        <v>6</v>
      </c>
      <c r="F117">
        <f>COUNTIFS($D$2:D117,D117)</f>
        <v>25</v>
      </c>
      <c r="G117" t="str">
        <f t="shared" si="1"/>
        <v>3871B</v>
      </c>
      <c r="H117">
        <v>5.4526519000000002</v>
      </c>
      <c r="I117">
        <v>52.1741545</v>
      </c>
      <c r="J117" t="s">
        <v>369</v>
      </c>
      <c r="K117" t="s">
        <v>264</v>
      </c>
      <c r="L117" t="s">
        <v>23</v>
      </c>
      <c r="M117" t="s">
        <v>6</v>
      </c>
    </row>
    <row r="118" spans="1:13" x14ac:dyDescent="0.25">
      <c r="A118" s="3" t="s">
        <v>25</v>
      </c>
      <c r="B118" s="4">
        <v>14</v>
      </c>
      <c r="C118" s="4"/>
      <c r="D118" s="4" t="s">
        <v>23</v>
      </c>
      <c r="E118" s="4" t="s">
        <v>6</v>
      </c>
      <c r="F118">
        <f>COUNTIFS($D$2:D118,D118)</f>
        <v>26</v>
      </c>
      <c r="G118" t="str">
        <f t="shared" si="1"/>
        <v>3871B</v>
      </c>
      <c r="H118">
        <v>5.4526807000000002</v>
      </c>
      <c r="I118">
        <v>52.173839899999997</v>
      </c>
      <c r="J118" t="s">
        <v>369</v>
      </c>
      <c r="K118" t="s">
        <v>266</v>
      </c>
      <c r="L118" t="s">
        <v>23</v>
      </c>
      <c r="M118" t="s">
        <v>6</v>
      </c>
    </row>
    <row r="119" spans="1:13" x14ac:dyDescent="0.25">
      <c r="A119" s="3" t="s">
        <v>25</v>
      </c>
      <c r="B119" s="4">
        <v>16</v>
      </c>
      <c r="C119" s="4"/>
      <c r="D119" s="4" t="s">
        <v>23</v>
      </c>
      <c r="E119" s="4" t="s">
        <v>6</v>
      </c>
      <c r="F119">
        <f>COUNTIFS($D$2:D119,D119)</f>
        <v>27</v>
      </c>
      <c r="G119" t="str">
        <f t="shared" si="1"/>
        <v>3871B</v>
      </c>
      <c r="H119">
        <v>5.4526805999999999</v>
      </c>
      <c r="I119">
        <v>52.173758999999997</v>
      </c>
      <c r="J119" t="s">
        <v>369</v>
      </c>
      <c r="K119" t="s">
        <v>371</v>
      </c>
      <c r="L119" t="s">
        <v>23</v>
      </c>
      <c r="M119" t="s">
        <v>6</v>
      </c>
    </row>
    <row r="120" spans="1:13" x14ac:dyDescent="0.25">
      <c r="A120" s="3" t="s">
        <v>25</v>
      </c>
      <c r="B120" s="4">
        <v>18</v>
      </c>
      <c r="C120" s="4"/>
      <c r="D120" s="4" t="s">
        <v>23</v>
      </c>
      <c r="E120" s="4" t="s">
        <v>6</v>
      </c>
      <c r="F120">
        <f>COUNTIFS($D$2:D120,D120)</f>
        <v>28</v>
      </c>
      <c r="G120" t="str">
        <f t="shared" si="1"/>
        <v>3871B</v>
      </c>
      <c r="H120">
        <v>5.4527242999999999</v>
      </c>
      <c r="I120">
        <v>52.173651100000001</v>
      </c>
      <c r="J120" t="s">
        <v>369</v>
      </c>
      <c r="K120" t="s">
        <v>267</v>
      </c>
      <c r="L120" t="s">
        <v>23</v>
      </c>
      <c r="M120" t="s">
        <v>6</v>
      </c>
    </row>
    <row r="121" spans="1:13" x14ac:dyDescent="0.25">
      <c r="A121" s="3" t="s">
        <v>25</v>
      </c>
      <c r="B121" s="4">
        <v>20</v>
      </c>
      <c r="C121" s="4"/>
      <c r="D121" s="4" t="s">
        <v>23</v>
      </c>
      <c r="E121" s="4" t="s">
        <v>6</v>
      </c>
      <c r="F121">
        <f>COUNTIFS($D$2:D121,D121)</f>
        <v>29</v>
      </c>
      <c r="G121" t="str">
        <f t="shared" si="1"/>
        <v>3871B</v>
      </c>
      <c r="H121">
        <v>5.4527387999999997</v>
      </c>
      <c r="I121">
        <v>52.173579199999999</v>
      </c>
      <c r="J121" t="s">
        <v>369</v>
      </c>
      <c r="K121" t="s">
        <v>372</v>
      </c>
      <c r="L121" t="s">
        <v>23</v>
      </c>
      <c r="M121" t="s">
        <v>6</v>
      </c>
    </row>
    <row r="122" spans="1:13" x14ac:dyDescent="0.25">
      <c r="A122" s="3" t="s">
        <v>25</v>
      </c>
      <c r="B122" s="4">
        <v>22</v>
      </c>
      <c r="C122" s="4"/>
      <c r="D122" s="4" t="s">
        <v>23</v>
      </c>
      <c r="E122" s="4" t="s">
        <v>6</v>
      </c>
      <c r="F122">
        <f>COUNTIFS($D$2:D122,D122)</f>
        <v>30</v>
      </c>
      <c r="G122" t="str">
        <f t="shared" si="1"/>
        <v>3871B</v>
      </c>
      <c r="H122">
        <v>5.4527678999999996</v>
      </c>
      <c r="I122">
        <v>52.173444400000001</v>
      </c>
      <c r="J122" t="s">
        <v>369</v>
      </c>
      <c r="K122" t="s">
        <v>269</v>
      </c>
      <c r="L122" t="s">
        <v>23</v>
      </c>
      <c r="M122" t="s">
        <v>6</v>
      </c>
    </row>
    <row r="123" spans="1:13" x14ac:dyDescent="0.25">
      <c r="A123" s="3" t="s">
        <v>25</v>
      </c>
      <c r="B123" s="4">
        <v>24</v>
      </c>
      <c r="C123" s="4"/>
      <c r="D123" s="4" t="s">
        <v>23</v>
      </c>
      <c r="E123" s="4" t="s">
        <v>6</v>
      </c>
      <c r="F123">
        <f>COUNTIFS($D$2:D123,D123)</f>
        <v>31</v>
      </c>
      <c r="G123" t="str">
        <f t="shared" si="1"/>
        <v>3871B</v>
      </c>
      <c r="H123">
        <v>5.4527676999999999</v>
      </c>
      <c r="I123">
        <v>52.173372499999999</v>
      </c>
      <c r="J123" t="s">
        <v>369</v>
      </c>
      <c r="K123" t="s">
        <v>270</v>
      </c>
      <c r="L123" t="s">
        <v>23</v>
      </c>
      <c r="M123" t="s">
        <v>6</v>
      </c>
    </row>
    <row r="124" spans="1:13" x14ac:dyDescent="0.25">
      <c r="A124" s="3" t="s">
        <v>25</v>
      </c>
      <c r="B124" s="4">
        <v>30</v>
      </c>
      <c r="C124" s="4"/>
      <c r="D124" s="4" t="s">
        <v>23</v>
      </c>
      <c r="E124" s="4" t="s">
        <v>6</v>
      </c>
      <c r="F124">
        <f>COUNTIFS($D$2:D124,D124)</f>
        <v>32</v>
      </c>
      <c r="G124" t="str">
        <f t="shared" si="1"/>
        <v>3871B</v>
      </c>
      <c r="H124">
        <v>5.4527669999999997</v>
      </c>
      <c r="I124">
        <v>52.172842199999998</v>
      </c>
      <c r="J124" t="s">
        <v>369</v>
      </c>
      <c r="K124" t="s">
        <v>373</v>
      </c>
      <c r="L124" t="s">
        <v>23</v>
      </c>
      <c r="M124" t="s">
        <v>6</v>
      </c>
    </row>
    <row r="125" spans="1:13" x14ac:dyDescent="0.25">
      <c r="A125" s="3" t="s">
        <v>25</v>
      </c>
      <c r="B125" s="4">
        <v>32</v>
      </c>
      <c r="C125" s="4"/>
      <c r="D125" s="4" t="s">
        <v>23</v>
      </c>
      <c r="E125" s="4" t="s">
        <v>6</v>
      </c>
      <c r="F125">
        <f>COUNTIFS($D$2:D125,D125)</f>
        <v>33</v>
      </c>
      <c r="G125" t="str">
        <f t="shared" si="1"/>
        <v>3871B</v>
      </c>
      <c r="H125">
        <v>5.4528252000000004</v>
      </c>
      <c r="I125">
        <v>52.172680399999997</v>
      </c>
      <c r="J125" t="s">
        <v>369</v>
      </c>
      <c r="K125" t="s">
        <v>273</v>
      </c>
      <c r="L125" t="s">
        <v>23</v>
      </c>
      <c r="M125" t="s">
        <v>6</v>
      </c>
    </row>
    <row r="126" spans="1:13" x14ac:dyDescent="0.25">
      <c r="A126" s="3" t="s">
        <v>25</v>
      </c>
      <c r="B126" s="4">
        <v>34</v>
      </c>
      <c r="C126" s="4"/>
      <c r="D126" s="4" t="s">
        <v>23</v>
      </c>
      <c r="E126" s="4" t="s">
        <v>6</v>
      </c>
      <c r="F126">
        <f>COUNTIFS($D$2:D126,D126)</f>
        <v>34</v>
      </c>
      <c r="G126" t="str">
        <f t="shared" si="1"/>
        <v>3871B</v>
      </c>
      <c r="H126">
        <v>5.4526789000000004</v>
      </c>
      <c r="I126">
        <v>52.172581600000001</v>
      </c>
      <c r="J126" t="s">
        <v>369</v>
      </c>
      <c r="K126" t="s">
        <v>274</v>
      </c>
      <c r="L126" t="s">
        <v>23</v>
      </c>
      <c r="M126" t="s">
        <v>6</v>
      </c>
    </row>
    <row r="127" spans="1:13" x14ac:dyDescent="0.25">
      <c r="A127" s="3" t="s">
        <v>25</v>
      </c>
      <c r="B127" s="4">
        <v>36</v>
      </c>
      <c r="C127" s="4"/>
      <c r="D127" s="4" t="s">
        <v>23</v>
      </c>
      <c r="E127" s="4" t="s">
        <v>6</v>
      </c>
      <c r="F127">
        <f>COUNTIFS($D$2:D127,D127)</f>
        <v>35</v>
      </c>
      <c r="G127" t="str">
        <f t="shared" si="1"/>
        <v>3871B</v>
      </c>
      <c r="H127">
        <v>5.4525326999999999</v>
      </c>
      <c r="I127">
        <v>52.172572700000003</v>
      </c>
      <c r="J127" t="s">
        <v>369</v>
      </c>
      <c r="K127" t="s">
        <v>275</v>
      </c>
      <c r="L127" t="s">
        <v>23</v>
      </c>
      <c r="M127" t="s">
        <v>6</v>
      </c>
    </row>
    <row r="128" spans="1:13" x14ac:dyDescent="0.25">
      <c r="A128" s="3" t="s">
        <v>25</v>
      </c>
      <c r="B128" s="4">
        <v>38</v>
      </c>
      <c r="C128" s="4"/>
      <c r="D128" s="4" t="s">
        <v>23</v>
      </c>
      <c r="E128" s="4" t="s">
        <v>6</v>
      </c>
      <c r="F128">
        <f>COUNTIFS($D$2:D128,D128)</f>
        <v>36</v>
      </c>
      <c r="G128" t="str">
        <f t="shared" si="1"/>
        <v>3871B</v>
      </c>
      <c r="H128">
        <v>5.4523428000000003</v>
      </c>
      <c r="I128">
        <v>52.172680700000001</v>
      </c>
      <c r="J128" t="s">
        <v>369</v>
      </c>
      <c r="K128" t="s">
        <v>374</v>
      </c>
      <c r="L128" t="s">
        <v>23</v>
      </c>
      <c r="M128" t="s">
        <v>6</v>
      </c>
    </row>
    <row r="129" spans="1:13" x14ac:dyDescent="0.25">
      <c r="A129" s="3" t="s">
        <v>26</v>
      </c>
      <c r="B129" s="4">
        <v>40</v>
      </c>
      <c r="C129" s="4"/>
      <c r="D129" s="4" t="s">
        <v>23</v>
      </c>
      <c r="E129" s="4" t="s">
        <v>6</v>
      </c>
      <c r="F129">
        <f>COUNTIFS($D$2:D129,D129)</f>
        <v>37</v>
      </c>
      <c r="G129" t="str">
        <f t="shared" si="1"/>
        <v>3871B</v>
      </c>
      <c r="H129">
        <v>5.4522111999999998</v>
      </c>
      <c r="I129">
        <v>52.172635800000002</v>
      </c>
      <c r="J129" t="s">
        <v>375</v>
      </c>
      <c r="K129" t="s">
        <v>276</v>
      </c>
      <c r="L129" t="s">
        <v>23</v>
      </c>
      <c r="M129" t="s">
        <v>6</v>
      </c>
    </row>
    <row r="130" spans="1:13" x14ac:dyDescent="0.25">
      <c r="A130" s="3" t="s">
        <v>26</v>
      </c>
      <c r="B130" s="4">
        <v>42</v>
      </c>
      <c r="C130" s="4"/>
      <c r="D130" s="4" t="s">
        <v>23</v>
      </c>
      <c r="E130" s="4" t="s">
        <v>6</v>
      </c>
      <c r="F130">
        <f>COUNTIFS($D$2:D130,D130)</f>
        <v>38</v>
      </c>
      <c r="G130" t="str">
        <f t="shared" ref="G130:G193" si="2">LEFT(A130,5)</f>
        <v>3871B</v>
      </c>
      <c r="H130">
        <v>5.4520795</v>
      </c>
      <c r="I130">
        <v>52.172555000000003</v>
      </c>
      <c r="J130" t="s">
        <v>375</v>
      </c>
      <c r="K130" t="s">
        <v>376</v>
      </c>
      <c r="L130" t="s">
        <v>23</v>
      </c>
      <c r="M130" t="s">
        <v>6</v>
      </c>
    </row>
    <row r="131" spans="1:13" x14ac:dyDescent="0.25">
      <c r="A131" s="3" t="s">
        <v>26</v>
      </c>
      <c r="B131" s="4">
        <v>44</v>
      </c>
      <c r="C131" s="4"/>
      <c r="D131" s="4" t="s">
        <v>23</v>
      </c>
      <c r="E131" s="4" t="s">
        <v>6</v>
      </c>
      <c r="F131">
        <f>COUNTIFS($D$2:D131,D131)</f>
        <v>39</v>
      </c>
      <c r="G131" t="str">
        <f t="shared" si="2"/>
        <v>3871B</v>
      </c>
      <c r="H131">
        <v>5.4521085999999999</v>
      </c>
      <c r="I131">
        <v>52.172456099999998</v>
      </c>
      <c r="J131" t="s">
        <v>375</v>
      </c>
      <c r="K131" t="s">
        <v>377</v>
      </c>
      <c r="L131" t="s">
        <v>23</v>
      </c>
      <c r="M131" t="s">
        <v>6</v>
      </c>
    </row>
    <row r="132" spans="1:13" x14ac:dyDescent="0.25">
      <c r="A132" s="3" t="s">
        <v>26</v>
      </c>
      <c r="B132" s="4">
        <v>46</v>
      </c>
      <c r="C132" s="4"/>
      <c r="D132" s="4" t="s">
        <v>23</v>
      </c>
      <c r="E132" s="4" t="s">
        <v>6</v>
      </c>
      <c r="F132">
        <f>COUNTIFS($D$2:D132,D132)</f>
        <v>40</v>
      </c>
      <c r="G132" t="str">
        <f t="shared" si="2"/>
        <v>3871B</v>
      </c>
      <c r="H132">
        <v>5.4522545999999998</v>
      </c>
      <c r="I132">
        <v>52.172375099999996</v>
      </c>
      <c r="J132" t="s">
        <v>375</v>
      </c>
      <c r="K132" t="s">
        <v>277</v>
      </c>
      <c r="L132" t="s">
        <v>23</v>
      </c>
      <c r="M132" t="s">
        <v>6</v>
      </c>
    </row>
    <row r="133" spans="1:13" x14ac:dyDescent="0.25">
      <c r="A133" s="3" t="s">
        <v>26</v>
      </c>
      <c r="B133" s="4">
        <v>48</v>
      </c>
      <c r="C133" s="4"/>
      <c r="D133" s="4" t="s">
        <v>23</v>
      </c>
      <c r="E133" s="4" t="s">
        <v>6</v>
      </c>
      <c r="F133">
        <f>COUNTIFS($D$2:D133,D133)</f>
        <v>41</v>
      </c>
      <c r="G133" t="str">
        <f t="shared" si="2"/>
        <v>3871B</v>
      </c>
      <c r="H133">
        <v>5.4522838</v>
      </c>
      <c r="I133">
        <v>52.172294200000003</v>
      </c>
      <c r="J133" t="s">
        <v>375</v>
      </c>
      <c r="K133" t="s">
        <v>278</v>
      </c>
      <c r="L133" t="s">
        <v>23</v>
      </c>
      <c r="M133" t="s">
        <v>6</v>
      </c>
    </row>
    <row r="134" spans="1:13" x14ac:dyDescent="0.25">
      <c r="A134" s="3" t="s">
        <v>26</v>
      </c>
      <c r="B134" s="4">
        <v>50</v>
      </c>
      <c r="C134" s="4"/>
      <c r="D134" s="4" t="s">
        <v>23</v>
      </c>
      <c r="E134" s="4" t="s">
        <v>6</v>
      </c>
      <c r="F134">
        <f>COUNTIFS($D$2:D134,D134)</f>
        <v>42</v>
      </c>
      <c r="G134" t="str">
        <f t="shared" si="2"/>
        <v>3871B</v>
      </c>
      <c r="H134">
        <v>5.4520643</v>
      </c>
      <c r="I134">
        <v>52.172159499999999</v>
      </c>
      <c r="J134" t="s">
        <v>375</v>
      </c>
      <c r="K134" t="s">
        <v>280</v>
      </c>
      <c r="L134" t="s">
        <v>23</v>
      </c>
      <c r="M134" t="s">
        <v>6</v>
      </c>
    </row>
    <row r="135" spans="1:13" x14ac:dyDescent="0.25">
      <c r="A135" s="3" t="s">
        <v>26</v>
      </c>
      <c r="B135" s="4">
        <v>52</v>
      </c>
      <c r="C135" s="4"/>
      <c r="D135" s="4" t="s">
        <v>23</v>
      </c>
      <c r="E135" s="4" t="s">
        <v>6</v>
      </c>
      <c r="F135">
        <f>COUNTIFS($D$2:D135,D135)</f>
        <v>43</v>
      </c>
      <c r="G135" t="str">
        <f t="shared" si="2"/>
        <v>3871B</v>
      </c>
      <c r="H135">
        <v>5.4524004000000001</v>
      </c>
      <c r="I135">
        <v>52.172060500000001</v>
      </c>
      <c r="J135" t="s">
        <v>375</v>
      </c>
      <c r="K135" t="s">
        <v>281</v>
      </c>
      <c r="L135" t="s">
        <v>23</v>
      </c>
      <c r="M135" t="s">
        <v>6</v>
      </c>
    </row>
    <row r="136" spans="1:13" x14ac:dyDescent="0.25">
      <c r="A136" s="3" t="s">
        <v>26</v>
      </c>
      <c r="B136" s="4">
        <v>54</v>
      </c>
      <c r="C136" s="4"/>
      <c r="D136" s="4" t="s">
        <v>23</v>
      </c>
      <c r="E136" s="4" t="s">
        <v>6</v>
      </c>
      <c r="F136">
        <f>COUNTIFS($D$2:D136,D136)</f>
        <v>44</v>
      </c>
      <c r="G136" t="str">
        <f t="shared" si="2"/>
        <v>3871B</v>
      </c>
      <c r="H136">
        <v>5.4522686</v>
      </c>
      <c r="I136">
        <v>52.171952699999999</v>
      </c>
      <c r="J136" t="s">
        <v>375</v>
      </c>
      <c r="K136" t="s">
        <v>282</v>
      </c>
      <c r="L136" t="s">
        <v>23</v>
      </c>
      <c r="M136" t="s">
        <v>6</v>
      </c>
    </row>
    <row r="137" spans="1:13" x14ac:dyDescent="0.25">
      <c r="A137" s="3" t="s">
        <v>26</v>
      </c>
      <c r="B137" s="4">
        <v>56</v>
      </c>
      <c r="C137" s="4"/>
      <c r="D137" s="4" t="s">
        <v>23</v>
      </c>
      <c r="E137" s="4" t="s">
        <v>6</v>
      </c>
      <c r="F137">
        <f>COUNTIFS($D$2:D137,D137)</f>
        <v>45</v>
      </c>
      <c r="G137" t="str">
        <f t="shared" si="2"/>
        <v>3871B</v>
      </c>
      <c r="H137">
        <v>5.4522684999999997</v>
      </c>
      <c r="I137">
        <v>52.171853800000001</v>
      </c>
      <c r="J137" t="s">
        <v>375</v>
      </c>
      <c r="K137" t="s">
        <v>283</v>
      </c>
      <c r="L137" t="s">
        <v>23</v>
      </c>
      <c r="M137" t="s">
        <v>6</v>
      </c>
    </row>
    <row r="138" spans="1:13" x14ac:dyDescent="0.25">
      <c r="A138" s="3" t="s">
        <v>26</v>
      </c>
      <c r="B138" s="4">
        <v>58</v>
      </c>
      <c r="C138" s="4"/>
      <c r="D138" s="4" t="s">
        <v>23</v>
      </c>
      <c r="E138" s="4" t="s">
        <v>6</v>
      </c>
      <c r="F138">
        <f>COUNTIFS($D$2:D138,D138)</f>
        <v>46</v>
      </c>
      <c r="G138" t="str">
        <f t="shared" si="2"/>
        <v>3871B</v>
      </c>
      <c r="H138">
        <v>5.4524292000000001</v>
      </c>
      <c r="I138">
        <v>52.171772799999999</v>
      </c>
      <c r="J138" t="s">
        <v>375</v>
      </c>
      <c r="K138" t="s">
        <v>284</v>
      </c>
      <c r="L138" t="s">
        <v>23</v>
      </c>
      <c r="M138" t="s">
        <v>6</v>
      </c>
    </row>
    <row r="139" spans="1:13" x14ac:dyDescent="0.25">
      <c r="A139" s="3" t="s">
        <v>26</v>
      </c>
      <c r="B139" s="4">
        <v>60</v>
      </c>
      <c r="C139" s="4"/>
      <c r="D139" s="4" t="s">
        <v>23</v>
      </c>
      <c r="E139" s="4" t="s">
        <v>6</v>
      </c>
      <c r="F139">
        <f>COUNTIFS($D$2:D139,D139)</f>
        <v>47</v>
      </c>
      <c r="G139" t="str">
        <f t="shared" si="2"/>
        <v>3871B</v>
      </c>
      <c r="H139">
        <v>5.4524436999999999</v>
      </c>
      <c r="I139">
        <v>52.1716829</v>
      </c>
      <c r="J139" t="s">
        <v>375</v>
      </c>
      <c r="K139" t="s">
        <v>285</v>
      </c>
      <c r="L139" t="s">
        <v>23</v>
      </c>
      <c r="M139" t="s">
        <v>6</v>
      </c>
    </row>
    <row r="140" spans="1:13" x14ac:dyDescent="0.25">
      <c r="A140" s="3" t="s">
        <v>26</v>
      </c>
      <c r="B140" s="4">
        <v>62</v>
      </c>
      <c r="C140" s="4"/>
      <c r="D140" s="4" t="s">
        <v>23</v>
      </c>
      <c r="E140" s="4" t="s">
        <v>6</v>
      </c>
      <c r="F140">
        <f>COUNTIFS($D$2:D140,D140)</f>
        <v>48</v>
      </c>
      <c r="G140" t="str">
        <f t="shared" si="2"/>
        <v>3871B</v>
      </c>
      <c r="H140">
        <v>5.4523264999999999</v>
      </c>
      <c r="I140">
        <v>52.171557200000002</v>
      </c>
      <c r="J140" t="s">
        <v>375</v>
      </c>
      <c r="K140" t="s">
        <v>286</v>
      </c>
      <c r="L140" t="s">
        <v>23</v>
      </c>
      <c r="M140" t="s">
        <v>6</v>
      </c>
    </row>
    <row r="141" spans="1:13" x14ac:dyDescent="0.25">
      <c r="A141" s="3" t="s">
        <v>26</v>
      </c>
      <c r="B141" s="4">
        <v>64</v>
      </c>
      <c r="C141" s="4"/>
      <c r="D141" s="4" t="s">
        <v>23</v>
      </c>
      <c r="E141" s="4" t="s">
        <v>6</v>
      </c>
      <c r="F141">
        <f>COUNTIFS($D$2:D141,D141)</f>
        <v>49</v>
      </c>
      <c r="G141" t="str">
        <f t="shared" si="2"/>
        <v>3871B</v>
      </c>
      <c r="H141">
        <v>5.4521072000000004</v>
      </c>
      <c r="I141">
        <v>52.171548299999998</v>
      </c>
      <c r="J141" t="s">
        <v>375</v>
      </c>
      <c r="K141" t="s">
        <v>287</v>
      </c>
      <c r="L141" t="s">
        <v>23</v>
      </c>
      <c r="M141" t="s">
        <v>6</v>
      </c>
    </row>
    <row r="142" spans="1:13" x14ac:dyDescent="0.25">
      <c r="A142" s="3" t="s">
        <v>26</v>
      </c>
      <c r="B142" s="4">
        <v>66</v>
      </c>
      <c r="C142" s="4"/>
      <c r="D142" s="4" t="s">
        <v>23</v>
      </c>
      <c r="E142" s="4" t="s">
        <v>6</v>
      </c>
      <c r="F142">
        <f>COUNTIFS($D$2:D142,D142)</f>
        <v>50</v>
      </c>
      <c r="G142" t="str">
        <f t="shared" si="2"/>
        <v>3871B</v>
      </c>
      <c r="H142">
        <v>5.4516249999999999</v>
      </c>
      <c r="I142">
        <v>52.171656400000003</v>
      </c>
      <c r="J142" t="s">
        <v>375</v>
      </c>
      <c r="K142" t="s">
        <v>288</v>
      </c>
      <c r="L142" t="s">
        <v>23</v>
      </c>
      <c r="M142" t="s">
        <v>6</v>
      </c>
    </row>
    <row r="143" spans="1:13" x14ac:dyDescent="0.25">
      <c r="A143" s="3" t="s">
        <v>26</v>
      </c>
      <c r="B143" s="4">
        <v>68</v>
      </c>
      <c r="C143" s="4"/>
      <c r="D143" s="4" t="s">
        <v>23</v>
      </c>
      <c r="E143" s="4" t="s">
        <v>6</v>
      </c>
      <c r="F143">
        <f>COUNTIFS($D$2:D143,D143)</f>
        <v>51</v>
      </c>
      <c r="G143" t="str">
        <f t="shared" si="2"/>
        <v>3871B</v>
      </c>
      <c r="H143">
        <v>5.4515225999999997</v>
      </c>
      <c r="I143">
        <v>52.171593600000001</v>
      </c>
      <c r="J143" t="s">
        <v>375</v>
      </c>
      <c r="K143" t="s">
        <v>289</v>
      </c>
      <c r="L143" t="s">
        <v>23</v>
      </c>
      <c r="M143" t="s">
        <v>6</v>
      </c>
    </row>
    <row r="144" spans="1:13" x14ac:dyDescent="0.25">
      <c r="A144" s="3" t="s">
        <v>26</v>
      </c>
      <c r="B144" s="4">
        <v>70</v>
      </c>
      <c r="C144" s="4"/>
      <c r="D144" s="4" t="s">
        <v>23</v>
      </c>
      <c r="E144" s="4" t="s">
        <v>6</v>
      </c>
      <c r="F144">
        <f>COUNTIFS($D$2:D144,D144)</f>
        <v>52</v>
      </c>
      <c r="G144" t="str">
        <f t="shared" si="2"/>
        <v>3871B</v>
      </c>
      <c r="H144">
        <v>5.4515225000000003</v>
      </c>
      <c r="I144">
        <v>52.171503700000002</v>
      </c>
      <c r="J144" t="s">
        <v>375</v>
      </c>
      <c r="K144" t="s">
        <v>290</v>
      </c>
      <c r="L144" t="s">
        <v>23</v>
      </c>
      <c r="M144" t="s">
        <v>6</v>
      </c>
    </row>
    <row r="145" spans="1:13" x14ac:dyDescent="0.25">
      <c r="A145" s="3" t="s">
        <v>26</v>
      </c>
      <c r="B145" s="4">
        <v>72</v>
      </c>
      <c r="C145" s="4"/>
      <c r="D145" s="4" t="s">
        <v>23</v>
      </c>
      <c r="E145" s="4" t="s">
        <v>6</v>
      </c>
      <c r="F145">
        <f>COUNTIFS($D$2:D145,D145)</f>
        <v>53</v>
      </c>
      <c r="G145" t="str">
        <f t="shared" si="2"/>
        <v>3871B</v>
      </c>
      <c r="H145">
        <v>5.4516247</v>
      </c>
      <c r="I145">
        <v>52.171431699999999</v>
      </c>
      <c r="J145" t="s">
        <v>375</v>
      </c>
      <c r="K145" t="s">
        <v>291</v>
      </c>
      <c r="L145" t="s">
        <v>23</v>
      </c>
      <c r="M145" t="s">
        <v>6</v>
      </c>
    </row>
    <row r="146" spans="1:13" x14ac:dyDescent="0.25">
      <c r="A146" s="3" t="s">
        <v>26</v>
      </c>
      <c r="B146" s="4">
        <v>74</v>
      </c>
      <c r="C146" s="4"/>
      <c r="D146" s="4" t="s">
        <v>23</v>
      </c>
      <c r="E146" s="4" t="s">
        <v>6</v>
      </c>
      <c r="F146">
        <f>COUNTIFS($D$2:D146,D146)</f>
        <v>54</v>
      </c>
      <c r="G146" t="str">
        <f t="shared" si="2"/>
        <v>3871B</v>
      </c>
      <c r="H146">
        <v>5.4515368999999998</v>
      </c>
      <c r="I146">
        <v>52.171377900000003</v>
      </c>
      <c r="J146" t="s">
        <v>375</v>
      </c>
      <c r="K146" t="s">
        <v>292</v>
      </c>
      <c r="L146" t="s">
        <v>23</v>
      </c>
      <c r="M146" t="s">
        <v>6</v>
      </c>
    </row>
    <row r="147" spans="1:13" x14ac:dyDescent="0.25">
      <c r="A147" s="3" t="s">
        <v>26</v>
      </c>
      <c r="B147" s="4">
        <v>76</v>
      </c>
      <c r="C147" s="4"/>
      <c r="D147" s="4" t="s">
        <v>23</v>
      </c>
      <c r="E147" s="4" t="s">
        <v>6</v>
      </c>
      <c r="F147">
        <f>COUNTIFS($D$2:D147,D147)</f>
        <v>55</v>
      </c>
      <c r="G147" t="str">
        <f t="shared" si="2"/>
        <v>3871B</v>
      </c>
      <c r="H147">
        <v>5.4516536000000002</v>
      </c>
      <c r="I147">
        <v>52.171197999999997</v>
      </c>
      <c r="J147" t="s">
        <v>375</v>
      </c>
      <c r="K147" t="s">
        <v>293</v>
      </c>
      <c r="L147" t="s">
        <v>23</v>
      </c>
      <c r="M147" t="s">
        <v>6</v>
      </c>
    </row>
    <row r="148" spans="1:13" x14ac:dyDescent="0.25">
      <c r="A148" s="3" t="s">
        <v>26</v>
      </c>
      <c r="B148" s="4">
        <v>78</v>
      </c>
      <c r="C148" s="4"/>
      <c r="D148" s="4" t="s">
        <v>23</v>
      </c>
      <c r="E148" s="4" t="s">
        <v>6</v>
      </c>
      <c r="F148">
        <f>COUNTIFS($D$2:D148,D148)</f>
        <v>56</v>
      </c>
      <c r="G148" t="str">
        <f t="shared" si="2"/>
        <v>3871B</v>
      </c>
      <c r="H148">
        <v>5.4518582000000002</v>
      </c>
      <c r="I148">
        <v>52.171197900000003</v>
      </c>
      <c r="J148" t="s">
        <v>375</v>
      </c>
      <c r="K148" t="s">
        <v>378</v>
      </c>
      <c r="L148" t="s">
        <v>23</v>
      </c>
      <c r="M148" t="s">
        <v>6</v>
      </c>
    </row>
    <row r="149" spans="1:13" x14ac:dyDescent="0.25">
      <c r="A149" s="3" t="s">
        <v>26</v>
      </c>
      <c r="B149" s="4">
        <v>80</v>
      </c>
      <c r="C149" s="4"/>
      <c r="D149" s="4" t="s">
        <v>23</v>
      </c>
      <c r="E149" s="4" t="s">
        <v>6</v>
      </c>
      <c r="F149">
        <f>COUNTIFS($D$2:D149,D149)</f>
        <v>57</v>
      </c>
      <c r="G149" t="str">
        <f t="shared" si="2"/>
        <v>3871B</v>
      </c>
      <c r="H149">
        <v>5.4519168000000002</v>
      </c>
      <c r="I149">
        <v>52.171278800000003</v>
      </c>
      <c r="J149" t="s">
        <v>375</v>
      </c>
      <c r="K149" t="s">
        <v>379</v>
      </c>
      <c r="L149" t="s">
        <v>23</v>
      </c>
      <c r="M149" t="s">
        <v>6</v>
      </c>
    </row>
    <row r="150" spans="1:13" x14ac:dyDescent="0.25">
      <c r="A150" s="3" t="s">
        <v>27</v>
      </c>
      <c r="B150" s="4">
        <v>1</v>
      </c>
      <c r="C150" s="4"/>
      <c r="D150" s="4" t="s">
        <v>28</v>
      </c>
      <c r="E150" s="4" t="s">
        <v>6</v>
      </c>
      <c r="F150">
        <f>COUNTIFS($D$2:D150,D150)</f>
        <v>1</v>
      </c>
      <c r="G150" t="str">
        <f t="shared" si="2"/>
        <v>3871B</v>
      </c>
      <c r="H150">
        <v>5.4528112999999996</v>
      </c>
      <c r="I150">
        <v>52.173174699999997</v>
      </c>
      <c r="J150" t="s">
        <v>380</v>
      </c>
      <c r="K150" t="s">
        <v>355</v>
      </c>
      <c r="L150" t="s">
        <v>28</v>
      </c>
      <c r="M150" t="s">
        <v>6</v>
      </c>
    </row>
    <row r="151" spans="1:13" x14ac:dyDescent="0.25">
      <c r="A151" s="3" t="s">
        <v>27</v>
      </c>
      <c r="B151" s="4">
        <v>3</v>
      </c>
      <c r="C151" s="4"/>
      <c r="D151" s="4" t="s">
        <v>28</v>
      </c>
      <c r="E151" s="4" t="s">
        <v>6</v>
      </c>
      <c r="F151">
        <f>COUNTIFS($D$2:D151,D151)</f>
        <v>2</v>
      </c>
      <c r="G151" t="str">
        <f t="shared" si="2"/>
        <v>3871B</v>
      </c>
      <c r="H151">
        <v>5.4527235999999997</v>
      </c>
      <c r="I151">
        <v>52.173174799999998</v>
      </c>
      <c r="J151" t="s">
        <v>380</v>
      </c>
      <c r="K151" t="s">
        <v>356</v>
      </c>
      <c r="L151" t="s">
        <v>28</v>
      </c>
      <c r="M151" t="s">
        <v>6</v>
      </c>
    </row>
    <row r="152" spans="1:13" x14ac:dyDescent="0.25">
      <c r="A152" s="3" t="s">
        <v>27</v>
      </c>
      <c r="B152" s="4">
        <v>5</v>
      </c>
      <c r="C152" s="4"/>
      <c r="D152" s="4" t="s">
        <v>28</v>
      </c>
      <c r="E152" s="4" t="s">
        <v>6</v>
      </c>
      <c r="F152">
        <f>COUNTIFS($D$2:D152,D152)</f>
        <v>3</v>
      </c>
      <c r="G152" t="str">
        <f t="shared" si="2"/>
        <v>3871B</v>
      </c>
      <c r="H152">
        <v>5.4524604999999999</v>
      </c>
      <c r="I152">
        <v>52.173165900000001</v>
      </c>
      <c r="J152" t="s">
        <v>380</v>
      </c>
      <c r="K152" t="s">
        <v>357</v>
      </c>
      <c r="L152" t="s">
        <v>28</v>
      </c>
      <c r="M152" t="s">
        <v>6</v>
      </c>
    </row>
    <row r="153" spans="1:13" x14ac:dyDescent="0.25">
      <c r="A153" s="3" t="s">
        <v>27</v>
      </c>
      <c r="B153" s="4">
        <v>7</v>
      </c>
      <c r="C153" s="4"/>
      <c r="D153" s="4" t="s">
        <v>28</v>
      </c>
      <c r="E153" s="4" t="s">
        <v>6</v>
      </c>
      <c r="F153">
        <f>COUNTIFS($D$2:D153,D153)</f>
        <v>4</v>
      </c>
      <c r="G153" t="str">
        <f t="shared" si="2"/>
        <v>3871B</v>
      </c>
      <c r="H153">
        <v>5.4523580999999997</v>
      </c>
      <c r="I153">
        <v>52.173157000000003</v>
      </c>
      <c r="J153" t="s">
        <v>380</v>
      </c>
      <c r="K153" t="s">
        <v>358</v>
      </c>
      <c r="L153" t="s">
        <v>28</v>
      </c>
      <c r="M153" t="s">
        <v>6</v>
      </c>
    </row>
    <row r="154" spans="1:13" x14ac:dyDescent="0.25">
      <c r="A154" s="3" t="s">
        <v>27</v>
      </c>
      <c r="B154" s="4">
        <v>7</v>
      </c>
      <c r="C154" s="4" t="s">
        <v>8</v>
      </c>
      <c r="D154" s="4" t="s">
        <v>28</v>
      </c>
      <c r="E154" s="4" t="s">
        <v>6</v>
      </c>
      <c r="F154">
        <f>COUNTIFS($D$2:D154,D154)</f>
        <v>5</v>
      </c>
      <c r="G154" t="str">
        <f t="shared" si="2"/>
        <v>3871B</v>
      </c>
      <c r="H154">
        <v>5.452051</v>
      </c>
      <c r="I154">
        <v>52.173094300000002</v>
      </c>
      <c r="J154" t="s">
        <v>380</v>
      </c>
      <c r="K154" t="s">
        <v>381</v>
      </c>
      <c r="L154" t="s">
        <v>28</v>
      </c>
      <c r="M154" t="s">
        <v>6</v>
      </c>
    </row>
    <row r="155" spans="1:13" x14ac:dyDescent="0.25">
      <c r="A155" s="3" t="s">
        <v>27</v>
      </c>
      <c r="B155" s="4">
        <v>9</v>
      </c>
      <c r="C155" s="4"/>
      <c r="D155" s="4" t="s">
        <v>28</v>
      </c>
      <c r="E155" s="4" t="s">
        <v>6</v>
      </c>
      <c r="F155">
        <f>COUNTIFS($D$2:D155,D155)</f>
        <v>6</v>
      </c>
      <c r="G155" t="str">
        <f t="shared" si="2"/>
        <v>3871B</v>
      </c>
      <c r="H155">
        <v>5.4515247000000002</v>
      </c>
      <c r="I155">
        <v>52.173058599999997</v>
      </c>
      <c r="J155" t="s">
        <v>380</v>
      </c>
      <c r="K155" t="s">
        <v>382</v>
      </c>
      <c r="L155" t="s">
        <v>28</v>
      </c>
      <c r="M155" t="s">
        <v>6</v>
      </c>
    </row>
    <row r="156" spans="1:13" x14ac:dyDescent="0.25">
      <c r="A156" s="3" t="s">
        <v>27</v>
      </c>
      <c r="B156" s="4">
        <v>15</v>
      </c>
      <c r="C156" s="4"/>
      <c r="D156" s="4" t="s">
        <v>28</v>
      </c>
      <c r="E156" s="4" t="s">
        <v>6</v>
      </c>
      <c r="F156">
        <f>COUNTIFS($D$2:D156,D156)</f>
        <v>7</v>
      </c>
      <c r="G156" t="str">
        <f t="shared" si="2"/>
        <v>3871B</v>
      </c>
      <c r="H156">
        <v>5.4509692000000003</v>
      </c>
      <c r="I156">
        <v>52.173058900000001</v>
      </c>
      <c r="J156" t="s">
        <v>380</v>
      </c>
      <c r="K156" t="s">
        <v>383</v>
      </c>
      <c r="L156" t="s">
        <v>28</v>
      </c>
      <c r="M156" t="s">
        <v>6</v>
      </c>
    </row>
    <row r="157" spans="1:13" x14ac:dyDescent="0.25">
      <c r="A157" s="3" t="s">
        <v>27</v>
      </c>
      <c r="B157" s="4">
        <v>17</v>
      </c>
      <c r="C157" s="4"/>
      <c r="D157" s="4" t="s">
        <v>28</v>
      </c>
      <c r="E157" s="4" t="s">
        <v>6</v>
      </c>
      <c r="F157">
        <f>COUNTIFS($D$2:D157,D157)</f>
        <v>8</v>
      </c>
      <c r="G157" t="str">
        <f t="shared" si="2"/>
        <v>3871B</v>
      </c>
      <c r="H157">
        <v>5.4508083999999997</v>
      </c>
      <c r="I157">
        <v>52.173050000000003</v>
      </c>
      <c r="J157" t="s">
        <v>380</v>
      </c>
      <c r="K157" t="s">
        <v>360</v>
      </c>
      <c r="L157" t="s">
        <v>28</v>
      </c>
      <c r="M157" t="s">
        <v>6</v>
      </c>
    </row>
    <row r="158" spans="1:13" x14ac:dyDescent="0.25">
      <c r="A158" s="3" t="s">
        <v>27</v>
      </c>
      <c r="B158" s="4">
        <v>19</v>
      </c>
      <c r="C158" s="4"/>
      <c r="D158" s="4" t="s">
        <v>28</v>
      </c>
      <c r="E158" s="4" t="s">
        <v>6</v>
      </c>
      <c r="F158">
        <f>COUNTIFS($D$2:D158,D158)</f>
        <v>9</v>
      </c>
      <c r="G158" t="str">
        <f t="shared" si="2"/>
        <v>3871B</v>
      </c>
      <c r="H158">
        <v>5.4506053000000003</v>
      </c>
      <c r="I158">
        <v>52.173067099999997</v>
      </c>
      <c r="J158" t="s">
        <v>380</v>
      </c>
      <c r="K158" t="s">
        <v>361</v>
      </c>
      <c r="L158" t="s">
        <v>28</v>
      </c>
      <c r="M158" t="s">
        <v>6</v>
      </c>
    </row>
    <row r="159" spans="1:13" x14ac:dyDescent="0.25">
      <c r="A159" s="3" t="s">
        <v>27</v>
      </c>
      <c r="B159" s="4">
        <v>21</v>
      </c>
      <c r="C159" s="4"/>
      <c r="D159" s="4" t="s">
        <v>28</v>
      </c>
      <c r="E159" s="4" t="s">
        <v>6</v>
      </c>
      <c r="F159">
        <f>COUNTIFS($D$2:D159,D159)</f>
        <v>10</v>
      </c>
      <c r="G159" t="str">
        <f t="shared" si="2"/>
        <v>3871B</v>
      </c>
      <c r="H159">
        <v>5.4504893000000001</v>
      </c>
      <c r="I159">
        <v>52.173033400000001</v>
      </c>
      <c r="J159" t="s">
        <v>380</v>
      </c>
      <c r="K159" t="s">
        <v>362</v>
      </c>
      <c r="L159" t="s">
        <v>28</v>
      </c>
      <c r="M159" t="s">
        <v>6</v>
      </c>
    </row>
    <row r="160" spans="1:13" x14ac:dyDescent="0.25">
      <c r="A160" s="3" t="s">
        <v>27</v>
      </c>
      <c r="B160" s="4">
        <v>23</v>
      </c>
      <c r="C160" s="4"/>
      <c r="D160" s="4" t="s">
        <v>28</v>
      </c>
      <c r="E160" s="4" t="s">
        <v>6</v>
      </c>
      <c r="F160">
        <f>COUNTIFS($D$2:D160,D160)</f>
        <v>11</v>
      </c>
      <c r="G160" t="str">
        <f t="shared" si="2"/>
        <v>3871B</v>
      </c>
      <c r="H160">
        <v>5.4503076999999998</v>
      </c>
      <c r="I160">
        <v>52.173051999999998</v>
      </c>
      <c r="J160" t="s">
        <v>380</v>
      </c>
      <c r="K160" t="s">
        <v>384</v>
      </c>
      <c r="L160" t="s">
        <v>28</v>
      </c>
      <c r="M160" t="s">
        <v>6</v>
      </c>
    </row>
    <row r="161" spans="1:13" x14ac:dyDescent="0.25">
      <c r="A161" s="3" t="s">
        <v>27</v>
      </c>
      <c r="B161" s="4">
        <v>25</v>
      </c>
      <c r="C161" s="4"/>
      <c r="D161" s="4" t="s">
        <v>28</v>
      </c>
      <c r="E161" s="4" t="s">
        <v>6</v>
      </c>
      <c r="F161">
        <f>COUNTIFS($D$2:D161,D161)</f>
        <v>12</v>
      </c>
      <c r="G161" t="str">
        <f t="shared" si="2"/>
        <v>3871B</v>
      </c>
      <c r="H161">
        <v>5.4501571000000002</v>
      </c>
      <c r="I161">
        <v>52.173017199999997</v>
      </c>
      <c r="J161" t="s">
        <v>380</v>
      </c>
      <c r="K161" t="s">
        <v>385</v>
      </c>
      <c r="L161" t="s">
        <v>28</v>
      </c>
      <c r="M161" t="s">
        <v>6</v>
      </c>
    </row>
    <row r="162" spans="1:13" x14ac:dyDescent="0.25">
      <c r="A162" s="3" t="s">
        <v>29</v>
      </c>
      <c r="B162" s="4">
        <v>2</v>
      </c>
      <c r="C162" s="4"/>
      <c r="D162" s="4" t="s">
        <v>28</v>
      </c>
      <c r="E162" s="4" t="s">
        <v>6</v>
      </c>
      <c r="F162">
        <f>COUNTIFS($D$2:D162,D162)</f>
        <v>13</v>
      </c>
      <c r="G162" t="str">
        <f t="shared" si="2"/>
        <v>3871B</v>
      </c>
      <c r="H162">
        <v>5.4521537999999996</v>
      </c>
      <c r="I162">
        <v>52.173408799999997</v>
      </c>
      <c r="J162" t="s">
        <v>386</v>
      </c>
      <c r="K162" t="s">
        <v>370</v>
      </c>
      <c r="L162" t="s">
        <v>28</v>
      </c>
      <c r="M162" t="s">
        <v>6</v>
      </c>
    </row>
    <row r="163" spans="1:13" x14ac:dyDescent="0.25">
      <c r="A163" s="3" t="s">
        <v>29</v>
      </c>
      <c r="B163" s="4">
        <v>2</v>
      </c>
      <c r="C163" s="4" t="s">
        <v>8</v>
      </c>
      <c r="D163" s="4" t="s">
        <v>28</v>
      </c>
      <c r="E163" s="4" t="s">
        <v>6</v>
      </c>
      <c r="F163">
        <f>COUNTIFS($D$2:D163,D163)</f>
        <v>14</v>
      </c>
      <c r="G163" t="str">
        <f t="shared" si="2"/>
        <v>3871B</v>
      </c>
      <c r="H163">
        <v>5.4537911000000001</v>
      </c>
      <c r="I163">
        <v>52.173434800000003</v>
      </c>
      <c r="J163" t="s">
        <v>386</v>
      </c>
      <c r="K163" t="s">
        <v>258</v>
      </c>
      <c r="L163" t="s">
        <v>28</v>
      </c>
      <c r="M163" t="s">
        <v>6</v>
      </c>
    </row>
    <row r="164" spans="1:13" x14ac:dyDescent="0.25">
      <c r="A164" s="3" t="s">
        <v>29</v>
      </c>
      <c r="B164" s="4">
        <v>2</v>
      </c>
      <c r="C164" s="4" t="s">
        <v>13</v>
      </c>
      <c r="D164" s="4" t="s">
        <v>28</v>
      </c>
      <c r="E164" s="4" t="s">
        <v>6</v>
      </c>
      <c r="F164">
        <f>COUNTIFS($D$2:D164,D164)</f>
        <v>15</v>
      </c>
      <c r="G164" t="str">
        <f t="shared" si="2"/>
        <v>3871B</v>
      </c>
      <c r="H164">
        <v>5.4523146000000002</v>
      </c>
      <c r="I164">
        <v>52.173408700000003</v>
      </c>
      <c r="J164" t="s">
        <v>386</v>
      </c>
      <c r="K164" t="s">
        <v>387</v>
      </c>
      <c r="L164" t="s">
        <v>28</v>
      </c>
      <c r="M164" t="s">
        <v>6</v>
      </c>
    </row>
    <row r="165" spans="1:13" x14ac:dyDescent="0.25">
      <c r="A165" s="3" t="s">
        <v>29</v>
      </c>
      <c r="B165" s="4">
        <v>2</v>
      </c>
      <c r="C165" s="4" t="s">
        <v>12</v>
      </c>
      <c r="D165" s="4" t="s">
        <v>28</v>
      </c>
      <c r="E165" s="4" t="s">
        <v>6</v>
      </c>
      <c r="F165">
        <f>COUNTIFS($D$2:D165,D165)</f>
        <v>16</v>
      </c>
      <c r="G165" t="str">
        <f t="shared" si="2"/>
        <v>3871B</v>
      </c>
      <c r="H165">
        <v>5.4536595999999999</v>
      </c>
      <c r="I165">
        <v>52.173434899999997</v>
      </c>
      <c r="J165" t="s">
        <v>386</v>
      </c>
      <c r="K165" t="s">
        <v>388</v>
      </c>
      <c r="L165" t="s">
        <v>28</v>
      </c>
      <c r="M165" t="s">
        <v>6</v>
      </c>
    </row>
    <row r="166" spans="1:13" x14ac:dyDescent="0.25">
      <c r="A166" s="3" t="s">
        <v>29</v>
      </c>
      <c r="B166" s="4">
        <v>4</v>
      </c>
      <c r="C166" s="4"/>
      <c r="D166" s="4" t="s">
        <v>28</v>
      </c>
      <c r="E166" s="4" t="s">
        <v>6</v>
      </c>
      <c r="F166">
        <f>COUNTIFS($D$2:D166,D166)</f>
        <v>17</v>
      </c>
      <c r="G166" t="str">
        <f t="shared" si="2"/>
        <v>3871B</v>
      </c>
      <c r="H166">
        <v>5.4519345000000001</v>
      </c>
      <c r="I166">
        <v>52.173363999999999</v>
      </c>
      <c r="J166" t="s">
        <v>386</v>
      </c>
      <c r="K166" t="s">
        <v>260</v>
      </c>
      <c r="L166" t="s">
        <v>28</v>
      </c>
      <c r="M166" t="s">
        <v>6</v>
      </c>
    </row>
    <row r="167" spans="1:13" x14ac:dyDescent="0.25">
      <c r="A167" s="3" t="s">
        <v>29</v>
      </c>
      <c r="B167" s="4">
        <v>6</v>
      </c>
      <c r="C167" s="4"/>
      <c r="D167" s="4" t="s">
        <v>28</v>
      </c>
      <c r="E167" s="4" t="s">
        <v>6</v>
      </c>
      <c r="F167">
        <f>COUNTIFS($D$2:D167,D167)</f>
        <v>18</v>
      </c>
      <c r="G167" t="str">
        <f t="shared" si="2"/>
        <v>3871B</v>
      </c>
      <c r="H167">
        <v>5.4516859000000002</v>
      </c>
      <c r="I167">
        <v>52.173355100000002</v>
      </c>
      <c r="J167" t="s">
        <v>386</v>
      </c>
      <c r="K167" t="s">
        <v>262</v>
      </c>
      <c r="L167" t="s">
        <v>28</v>
      </c>
      <c r="M167" t="s">
        <v>6</v>
      </c>
    </row>
    <row r="168" spans="1:13" x14ac:dyDescent="0.25">
      <c r="A168" s="3" t="s">
        <v>29</v>
      </c>
      <c r="B168" s="4">
        <v>8</v>
      </c>
      <c r="C168" s="4"/>
      <c r="D168" s="4" t="s">
        <v>28</v>
      </c>
      <c r="E168" s="4" t="s">
        <v>6</v>
      </c>
      <c r="F168">
        <f>COUNTIFS($D$2:D168,D168)</f>
        <v>19</v>
      </c>
      <c r="G168" t="str">
        <f t="shared" si="2"/>
        <v>3871B</v>
      </c>
      <c r="H168">
        <v>5.4509404000000004</v>
      </c>
      <c r="I168">
        <v>52.173346500000001</v>
      </c>
      <c r="J168" t="s">
        <v>386</v>
      </c>
      <c r="K168" t="s">
        <v>263</v>
      </c>
      <c r="L168" t="s">
        <v>28</v>
      </c>
      <c r="M168" t="s">
        <v>6</v>
      </c>
    </row>
    <row r="169" spans="1:13" x14ac:dyDescent="0.25">
      <c r="A169" s="3" t="s">
        <v>29</v>
      </c>
      <c r="B169" s="4">
        <v>10</v>
      </c>
      <c r="C169" s="4"/>
      <c r="D169" s="4" t="s">
        <v>28</v>
      </c>
      <c r="E169" s="4" t="s">
        <v>6</v>
      </c>
      <c r="F169">
        <f>COUNTIFS($D$2:D169,D169)</f>
        <v>20</v>
      </c>
      <c r="G169" t="str">
        <f t="shared" si="2"/>
        <v>3871B</v>
      </c>
      <c r="H169">
        <v>5.4508380000000001</v>
      </c>
      <c r="I169">
        <v>52.173337600000004</v>
      </c>
      <c r="J169" t="s">
        <v>386</v>
      </c>
      <c r="K169" t="s">
        <v>264</v>
      </c>
      <c r="L169" t="s">
        <v>28</v>
      </c>
      <c r="M169" t="s">
        <v>6</v>
      </c>
    </row>
    <row r="170" spans="1:13" x14ac:dyDescent="0.25">
      <c r="A170" s="3" t="s">
        <v>29</v>
      </c>
      <c r="B170" s="4">
        <v>12</v>
      </c>
      <c r="C170" s="4"/>
      <c r="D170" s="4" t="s">
        <v>28</v>
      </c>
      <c r="E170" s="4" t="s">
        <v>6</v>
      </c>
      <c r="F170">
        <f>COUNTIFS($D$2:D170,D170)</f>
        <v>21</v>
      </c>
      <c r="G170" t="str">
        <f t="shared" si="2"/>
        <v>3871B</v>
      </c>
      <c r="H170">
        <v>5.4507357000000001</v>
      </c>
      <c r="I170">
        <v>52.173337699999998</v>
      </c>
      <c r="J170" t="s">
        <v>386</v>
      </c>
      <c r="K170" t="s">
        <v>265</v>
      </c>
      <c r="L170" t="s">
        <v>28</v>
      </c>
      <c r="M170" t="s">
        <v>6</v>
      </c>
    </row>
    <row r="171" spans="1:13" x14ac:dyDescent="0.25">
      <c r="A171" s="3" t="s">
        <v>29</v>
      </c>
      <c r="B171" s="4">
        <v>14</v>
      </c>
      <c r="C171" s="4"/>
      <c r="D171" s="4" t="s">
        <v>28</v>
      </c>
      <c r="E171" s="4" t="s">
        <v>6</v>
      </c>
      <c r="F171">
        <f>COUNTIFS($D$2:D171,D171)</f>
        <v>22</v>
      </c>
      <c r="G171" t="str">
        <f t="shared" si="2"/>
        <v>3871B</v>
      </c>
      <c r="H171">
        <v>5.4506480000000002</v>
      </c>
      <c r="I171">
        <v>52.173337699999998</v>
      </c>
      <c r="J171" t="s">
        <v>386</v>
      </c>
      <c r="K171" t="s">
        <v>266</v>
      </c>
      <c r="L171" t="s">
        <v>28</v>
      </c>
      <c r="M171" t="s">
        <v>6</v>
      </c>
    </row>
    <row r="172" spans="1:13" x14ac:dyDescent="0.25">
      <c r="A172" s="3" t="s">
        <v>29</v>
      </c>
      <c r="B172" s="4">
        <v>16</v>
      </c>
      <c r="C172" s="4"/>
      <c r="D172" s="4" t="s">
        <v>28</v>
      </c>
      <c r="E172" s="4" t="s">
        <v>6</v>
      </c>
      <c r="F172">
        <f>COUNTIFS($D$2:D172,D172)</f>
        <v>23</v>
      </c>
      <c r="G172" t="str">
        <f t="shared" si="2"/>
        <v>3871B</v>
      </c>
      <c r="H172">
        <v>5.4505603000000002</v>
      </c>
      <c r="I172">
        <v>52.173337799999999</v>
      </c>
      <c r="J172" t="s">
        <v>386</v>
      </c>
      <c r="K172" t="s">
        <v>371</v>
      </c>
      <c r="L172" t="s">
        <v>28</v>
      </c>
      <c r="M172" t="s">
        <v>6</v>
      </c>
    </row>
    <row r="173" spans="1:13" x14ac:dyDescent="0.25">
      <c r="A173" s="3" t="s">
        <v>29</v>
      </c>
      <c r="B173" s="4">
        <v>18</v>
      </c>
      <c r="C173" s="4"/>
      <c r="D173" s="4" t="s">
        <v>28</v>
      </c>
      <c r="E173" s="4" t="s">
        <v>6</v>
      </c>
      <c r="F173">
        <f>COUNTIFS($D$2:D173,D173)</f>
        <v>24</v>
      </c>
      <c r="G173" t="str">
        <f t="shared" si="2"/>
        <v>3871B</v>
      </c>
      <c r="H173">
        <v>5.4504580000000002</v>
      </c>
      <c r="I173">
        <v>52.1733288</v>
      </c>
      <c r="J173" t="s">
        <v>386</v>
      </c>
      <c r="K173" t="s">
        <v>267</v>
      </c>
      <c r="L173" t="s">
        <v>28</v>
      </c>
      <c r="M173" t="s">
        <v>6</v>
      </c>
    </row>
    <row r="174" spans="1:13" x14ac:dyDescent="0.25">
      <c r="A174" s="3" t="s">
        <v>29</v>
      </c>
      <c r="B174" s="4">
        <v>20</v>
      </c>
      <c r="C174" s="4"/>
      <c r="D174" s="4" t="s">
        <v>28</v>
      </c>
      <c r="E174" s="4" t="s">
        <v>6</v>
      </c>
      <c r="F174">
        <f>COUNTIFS($D$2:D174,D174)</f>
        <v>25</v>
      </c>
      <c r="G174" t="str">
        <f t="shared" si="2"/>
        <v>3871B</v>
      </c>
      <c r="H174">
        <v>5.4502971000000002</v>
      </c>
      <c r="I174">
        <v>52.173301899999998</v>
      </c>
      <c r="J174" t="s">
        <v>386</v>
      </c>
      <c r="K174" t="s">
        <v>372</v>
      </c>
      <c r="L174" t="s">
        <v>28</v>
      </c>
      <c r="M174" t="s">
        <v>6</v>
      </c>
    </row>
    <row r="175" spans="1:13" x14ac:dyDescent="0.25">
      <c r="A175" s="3" t="s">
        <v>29</v>
      </c>
      <c r="B175" s="4">
        <v>22</v>
      </c>
      <c r="C175" s="4"/>
      <c r="D175" s="4" t="s">
        <v>28</v>
      </c>
      <c r="E175" s="4" t="s">
        <v>6</v>
      </c>
      <c r="F175">
        <f>COUNTIFS($D$2:D175,D175)</f>
        <v>26</v>
      </c>
      <c r="G175" t="str">
        <f t="shared" si="2"/>
        <v>3871B</v>
      </c>
      <c r="H175">
        <v>5.4501802000000001</v>
      </c>
      <c r="I175">
        <v>52.173293000000001</v>
      </c>
      <c r="J175" t="s">
        <v>386</v>
      </c>
      <c r="K175" t="s">
        <v>269</v>
      </c>
      <c r="L175" t="s">
        <v>28</v>
      </c>
      <c r="M175" t="s">
        <v>6</v>
      </c>
    </row>
    <row r="176" spans="1:13" x14ac:dyDescent="0.25">
      <c r="A176" s="3" t="s">
        <v>30</v>
      </c>
      <c r="B176" s="4">
        <v>1</v>
      </c>
      <c r="C176" s="4"/>
      <c r="D176" s="4" t="s">
        <v>31</v>
      </c>
      <c r="E176" s="4" t="s">
        <v>6</v>
      </c>
      <c r="F176">
        <f>COUNTIFS($D$2:D176,D176)</f>
        <v>1</v>
      </c>
      <c r="G176" t="str">
        <f t="shared" si="2"/>
        <v>3871B</v>
      </c>
      <c r="H176">
        <v>5.4513365</v>
      </c>
      <c r="I176">
        <v>52.174353000000004</v>
      </c>
      <c r="J176" t="s">
        <v>389</v>
      </c>
      <c r="K176" t="s">
        <v>355</v>
      </c>
      <c r="L176" t="s">
        <v>31</v>
      </c>
      <c r="M176" t="s">
        <v>6</v>
      </c>
    </row>
    <row r="177" spans="1:13" x14ac:dyDescent="0.25">
      <c r="A177" s="3" t="s">
        <v>30</v>
      </c>
      <c r="B177" s="4">
        <v>3</v>
      </c>
      <c r="C177" s="4"/>
      <c r="D177" s="4" t="s">
        <v>31</v>
      </c>
      <c r="E177" s="4" t="s">
        <v>6</v>
      </c>
      <c r="F177">
        <f>COUNTIFS($D$2:D177,D177)</f>
        <v>2</v>
      </c>
      <c r="G177" t="str">
        <f t="shared" si="2"/>
        <v>3871B</v>
      </c>
      <c r="H177">
        <v>5.4514239</v>
      </c>
      <c r="I177">
        <v>52.174128199999998</v>
      </c>
      <c r="J177" t="s">
        <v>389</v>
      </c>
      <c r="K177" t="s">
        <v>356</v>
      </c>
      <c r="L177" t="s">
        <v>31</v>
      </c>
      <c r="M177" t="s">
        <v>6</v>
      </c>
    </row>
    <row r="178" spans="1:13" x14ac:dyDescent="0.25">
      <c r="A178" s="3" t="s">
        <v>30</v>
      </c>
      <c r="B178" s="4">
        <v>5</v>
      </c>
      <c r="C178" s="4"/>
      <c r="D178" s="4" t="s">
        <v>31</v>
      </c>
      <c r="E178" s="4" t="s">
        <v>6</v>
      </c>
      <c r="F178">
        <f>COUNTIFS($D$2:D178,D178)</f>
        <v>3</v>
      </c>
      <c r="G178" t="str">
        <f t="shared" si="2"/>
        <v>3871B</v>
      </c>
      <c r="H178">
        <v>5.4514654</v>
      </c>
      <c r="I178">
        <v>52.173878500000001</v>
      </c>
      <c r="J178" t="s">
        <v>389</v>
      </c>
      <c r="K178" t="s">
        <v>357</v>
      </c>
      <c r="L178" t="s">
        <v>31</v>
      </c>
      <c r="M178" t="s">
        <v>6</v>
      </c>
    </row>
    <row r="179" spans="1:13" x14ac:dyDescent="0.25">
      <c r="A179" s="3" t="s">
        <v>30</v>
      </c>
      <c r="B179" s="4">
        <v>7</v>
      </c>
      <c r="C179" s="4"/>
      <c r="D179" s="4" t="s">
        <v>31</v>
      </c>
      <c r="E179" s="4" t="s">
        <v>6</v>
      </c>
      <c r="F179">
        <f>COUNTIFS($D$2:D179,D179)</f>
        <v>4</v>
      </c>
      <c r="G179" t="str">
        <f t="shared" si="2"/>
        <v>3871B</v>
      </c>
      <c r="H179">
        <v>5.4513939999999996</v>
      </c>
      <c r="I179">
        <v>52.173651900000003</v>
      </c>
      <c r="J179" t="s">
        <v>389</v>
      </c>
      <c r="K179" t="s">
        <v>358</v>
      </c>
      <c r="L179" t="s">
        <v>31</v>
      </c>
      <c r="M179" t="s">
        <v>6</v>
      </c>
    </row>
    <row r="180" spans="1:13" x14ac:dyDescent="0.25">
      <c r="A180" s="3" t="s">
        <v>30</v>
      </c>
      <c r="B180" s="4">
        <v>9</v>
      </c>
      <c r="C180" s="4"/>
      <c r="D180" s="4" t="s">
        <v>31</v>
      </c>
      <c r="E180" s="4" t="s">
        <v>6</v>
      </c>
      <c r="F180">
        <f>COUNTIFS($D$2:D180,D180)</f>
        <v>5</v>
      </c>
      <c r="G180" t="str">
        <f t="shared" si="2"/>
        <v>3871B</v>
      </c>
      <c r="H180">
        <v>5.4513790000000002</v>
      </c>
      <c r="I180">
        <v>52.173364300000003</v>
      </c>
      <c r="J180" t="s">
        <v>389</v>
      </c>
      <c r="K180" t="s">
        <v>382</v>
      </c>
      <c r="L180" t="s">
        <v>31</v>
      </c>
      <c r="M180" t="s">
        <v>6</v>
      </c>
    </row>
    <row r="181" spans="1:13" x14ac:dyDescent="0.25">
      <c r="A181" s="3" t="s">
        <v>32</v>
      </c>
      <c r="B181" s="4">
        <v>1</v>
      </c>
      <c r="C181" s="4"/>
      <c r="D181" s="4" t="s">
        <v>33</v>
      </c>
      <c r="E181" s="4" t="s">
        <v>6</v>
      </c>
      <c r="F181">
        <f>COUNTIFS($D$2:D181,D181)</f>
        <v>1</v>
      </c>
      <c r="G181" t="str">
        <f t="shared" si="2"/>
        <v>3871B</v>
      </c>
      <c r="H181">
        <v>5.4509097000000004</v>
      </c>
      <c r="I181">
        <v>52.173648700000001</v>
      </c>
      <c r="J181" t="s">
        <v>390</v>
      </c>
      <c r="K181" t="s">
        <v>355</v>
      </c>
      <c r="L181" t="s">
        <v>33</v>
      </c>
      <c r="M181" t="s">
        <v>6</v>
      </c>
    </row>
    <row r="182" spans="1:13" x14ac:dyDescent="0.25">
      <c r="A182" s="3" t="s">
        <v>32</v>
      </c>
      <c r="B182" s="4">
        <v>2</v>
      </c>
      <c r="C182" s="4"/>
      <c r="D182" s="4" t="s">
        <v>33</v>
      </c>
      <c r="E182" s="4" t="s">
        <v>6</v>
      </c>
      <c r="F182">
        <f>COUNTIFS($D$2:D182,D182)</f>
        <v>2</v>
      </c>
      <c r="G182" t="str">
        <f t="shared" si="2"/>
        <v>3871B</v>
      </c>
      <c r="H182">
        <v>5.4508681000000001</v>
      </c>
      <c r="I182">
        <v>52.173930800000001</v>
      </c>
      <c r="J182" t="s">
        <v>390</v>
      </c>
      <c r="K182" t="s">
        <v>370</v>
      </c>
      <c r="L182" t="s">
        <v>33</v>
      </c>
      <c r="M182" t="s">
        <v>6</v>
      </c>
    </row>
    <row r="183" spans="1:13" x14ac:dyDescent="0.25">
      <c r="A183" s="3" t="s">
        <v>32</v>
      </c>
      <c r="B183" s="4">
        <v>3</v>
      </c>
      <c r="C183" s="4"/>
      <c r="D183" s="4" t="s">
        <v>33</v>
      </c>
      <c r="E183" s="4" t="s">
        <v>6</v>
      </c>
      <c r="F183">
        <f>COUNTIFS($D$2:D183,D183)</f>
        <v>3</v>
      </c>
      <c r="G183" t="str">
        <f t="shared" si="2"/>
        <v>3871B</v>
      </c>
      <c r="H183">
        <v>5.4508033999999999</v>
      </c>
      <c r="I183">
        <v>52.173638500000003</v>
      </c>
      <c r="J183" t="s">
        <v>390</v>
      </c>
      <c r="K183" t="s">
        <v>356</v>
      </c>
      <c r="L183" t="s">
        <v>33</v>
      </c>
      <c r="M183" t="s">
        <v>6</v>
      </c>
    </row>
    <row r="184" spans="1:13" x14ac:dyDescent="0.25">
      <c r="A184" s="3" t="s">
        <v>32</v>
      </c>
      <c r="B184" s="4">
        <v>4</v>
      </c>
      <c r="C184" s="4"/>
      <c r="D184" s="4" t="s">
        <v>33</v>
      </c>
      <c r="E184" s="4" t="s">
        <v>6</v>
      </c>
      <c r="F184">
        <f>COUNTIFS($D$2:D184,D184)</f>
        <v>4</v>
      </c>
      <c r="G184" t="str">
        <f t="shared" si="2"/>
        <v>3871B</v>
      </c>
      <c r="H184">
        <v>5.4507804000000002</v>
      </c>
      <c r="I184">
        <v>52.173921800000002</v>
      </c>
      <c r="J184" t="s">
        <v>390</v>
      </c>
      <c r="K184" t="s">
        <v>260</v>
      </c>
      <c r="L184" t="s">
        <v>33</v>
      </c>
      <c r="M184" t="s">
        <v>6</v>
      </c>
    </row>
    <row r="185" spans="1:13" x14ac:dyDescent="0.25">
      <c r="A185" s="3" t="s">
        <v>32</v>
      </c>
      <c r="B185" s="4">
        <v>5</v>
      </c>
      <c r="C185" s="4"/>
      <c r="D185" s="4" t="s">
        <v>33</v>
      </c>
      <c r="E185" s="4" t="s">
        <v>6</v>
      </c>
      <c r="F185">
        <f>COUNTIFS($D$2:D185,D185)</f>
        <v>5</v>
      </c>
      <c r="G185" t="str">
        <f t="shared" si="2"/>
        <v>3871B</v>
      </c>
      <c r="H185">
        <v>5.4506183000000004</v>
      </c>
      <c r="I185">
        <v>52.173647600000002</v>
      </c>
      <c r="J185" t="s">
        <v>390</v>
      </c>
      <c r="K185" t="s">
        <v>357</v>
      </c>
      <c r="L185" t="s">
        <v>33</v>
      </c>
      <c r="M185" t="s">
        <v>6</v>
      </c>
    </row>
    <row r="186" spans="1:13" x14ac:dyDescent="0.25">
      <c r="A186" s="3" t="s">
        <v>32</v>
      </c>
      <c r="B186" s="4">
        <v>6</v>
      </c>
      <c r="C186" s="4"/>
      <c r="D186" s="4" t="s">
        <v>33</v>
      </c>
      <c r="E186" s="4" t="s">
        <v>6</v>
      </c>
      <c r="F186">
        <f>COUNTIFS($D$2:D186,D186)</f>
        <v>6</v>
      </c>
      <c r="G186" t="str">
        <f t="shared" si="2"/>
        <v>3871B</v>
      </c>
      <c r="H186">
        <v>5.4506781000000002</v>
      </c>
      <c r="I186">
        <v>52.173912899999998</v>
      </c>
      <c r="J186" t="s">
        <v>390</v>
      </c>
      <c r="K186" t="s">
        <v>262</v>
      </c>
      <c r="L186" t="s">
        <v>33</v>
      </c>
      <c r="M186" t="s">
        <v>6</v>
      </c>
    </row>
    <row r="187" spans="1:13" x14ac:dyDescent="0.25">
      <c r="A187" s="3" t="s">
        <v>32</v>
      </c>
      <c r="B187" s="4">
        <v>7</v>
      </c>
      <c r="C187" s="4"/>
      <c r="D187" s="4" t="s">
        <v>33</v>
      </c>
      <c r="E187" s="4" t="s">
        <v>6</v>
      </c>
      <c r="F187">
        <f>COUNTIFS($D$2:D187,D187)</f>
        <v>7</v>
      </c>
      <c r="G187" t="str">
        <f t="shared" si="2"/>
        <v>3871B</v>
      </c>
      <c r="H187">
        <v>5.4505238</v>
      </c>
      <c r="I187">
        <v>52.173645800000003</v>
      </c>
      <c r="J187" t="s">
        <v>390</v>
      </c>
      <c r="K187" t="s">
        <v>358</v>
      </c>
      <c r="L187" t="s">
        <v>33</v>
      </c>
      <c r="M187" t="s">
        <v>6</v>
      </c>
    </row>
    <row r="188" spans="1:13" x14ac:dyDescent="0.25">
      <c r="A188" s="3" t="s">
        <v>32</v>
      </c>
      <c r="B188" s="4">
        <v>8</v>
      </c>
      <c r="C188" s="4"/>
      <c r="D188" s="4" t="s">
        <v>33</v>
      </c>
      <c r="E188" s="4" t="s">
        <v>6</v>
      </c>
      <c r="F188">
        <f>COUNTIFS($D$2:D188,D188)</f>
        <v>8</v>
      </c>
      <c r="G188" t="str">
        <f t="shared" si="2"/>
        <v>3871B</v>
      </c>
      <c r="H188">
        <v>5.4506050000000004</v>
      </c>
      <c r="I188">
        <v>52.173912999999999</v>
      </c>
      <c r="J188" t="s">
        <v>390</v>
      </c>
      <c r="K188" t="s">
        <v>263</v>
      </c>
      <c r="L188" t="s">
        <v>33</v>
      </c>
      <c r="M188" t="s">
        <v>6</v>
      </c>
    </row>
    <row r="189" spans="1:13" x14ac:dyDescent="0.25">
      <c r="A189" s="3" t="s">
        <v>32</v>
      </c>
      <c r="B189" s="4">
        <v>9</v>
      </c>
      <c r="C189" s="4"/>
      <c r="D189" s="4" t="s">
        <v>33</v>
      </c>
      <c r="E189" s="4" t="s">
        <v>6</v>
      </c>
      <c r="F189">
        <f>COUNTIFS($D$2:D189,D189)</f>
        <v>9</v>
      </c>
      <c r="G189" t="str">
        <f t="shared" si="2"/>
        <v>3871B</v>
      </c>
      <c r="H189">
        <v>5.4504349000000003</v>
      </c>
      <c r="I189">
        <v>52.173639899999998</v>
      </c>
      <c r="J189" t="s">
        <v>390</v>
      </c>
      <c r="K189" t="s">
        <v>382</v>
      </c>
      <c r="L189" t="s">
        <v>33</v>
      </c>
      <c r="M189" t="s">
        <v>6</v>
      </c>
    </row>
    <row r="190" spans="1:13" x14ac:dyDescent="0.25">
      <c r="A190" s="3" t="s">
        <v>32</v>
      </c>
      <c r="B190" s="4">
        <v>10</v>
      </c>
      <c r="C190" s="4"/>
      <c r="D190" s="4" t="s">
        <v>33</v>
      </c>
      <c r="E190" s="4" t="s">
        <v>6</v>
      </c>
      <c r="F190">
        <f>COUNTIFS($D$2:D190,D190)</f>
        <v>10</v>
      </c>
      <c r="G190" t="str">
        <f t="shared" si="2"/>
        <v>3871B</v>
      </c>
      <c r="H190">
        <v>5.450488</v>
      </c>
      <c r="I190">
        <v>52.173912999999999</v>
      </c>
      <c r="J190" t="s">
        <v>390</v>
      </c>
      <c r="K190" t="s">
        <v>264</v>
      </c>
      <c r="L190" t="s">
        <v>33</v>
      </c>
      <c r="M190" t="s">
        <v>6</v>
      </c>
    </row>
    <row r="191" spans="1:13" x14ac:dyDescent="0.25">
      <c r="A191" s="3" t="s">
        <v>32</v>
      </c>
      <c r="B191" s="4">
        <v>11</v>
      </c>
      <c r="C191" s="4"/>
      <c r="D191" s="4" t="s">
        <v>33</v>
      </c>
      <c r="E191" s="4" t="s">
        <v>6</v>
      </c>
      <c r="F191">
        <f>COUNTIFS($D$2:D191,D191)</f>
        <v>11</v>
      </c>
      <c r="G191" t="str">
        <f t="shared" si="2"/>
        <v>3871B</v>
      </c>
      <c r="H191">
        <v>5.4503440999999997</v>
      </c>
      <c r="I191">
        <v>52.173636000000002</v>
      </c>
      <c r="J191" t="s">
        <v>390</v>
      </c>
      <c r="K191" t="s">
        <v>391</v>
      </c>
      <c r="L191" t="s">
        <v>33</v>
      </c>
      <c r="M191" t="s">
        <v>6</v>
      </c>
    </row>
    <row r="192" spans="1:13" x14ac:dyDescent="0.25">
      <c r="A192" s="3" t="s">
        <v>32</v>
      </c>
      <c r="B192" s="4">
        <v>12</v>
      </c>
      <c r="C192" s="4"/>
      <c r="D192" s="4" t="s">
        <v>33</v>
      </c>
      <c r="E192" s="4" t="s">
        <v>6</v>
      </c>
      <c r="F192">
        <f>COUNTIFS($D$2:D192,D192)</f>
        <v>12</v>
      </c>
      <c r="G192" t="str">
        <f t="shared" si="2"/>
        <v>3871B</v>
      </c>
      <c r="H192">
        <v>5.4504003000000001</v>
      </c>
      <c r="I192">
        <v>52.173904100000001</v>
      </c>
      <c r="J192" t="s">
        <v>390</v>
      </c>
      <c r="K192" t="s">
        <v>265</v>
      </c>
      <c r="L192" t="s">
        <v>33</v>
      </c>
      <c r="M192" t="s">
        <v>6</v>
      </c>
    </row>
    <row r="193" spans="1:13" x14ac:dyDescent="0.25">
      <c r="A193" s="3" t="s">
        <v>32</v>
      </c>
      <c r="B193" s="4">
        <v>13</v>
      </c>
      <c r="C193" s="4"/>
      <c r="D193" s="4" t="s">
        <v>33</v>
      </c>
      <c r="E193" s="4" t="s">
        <v>6</v>
      </c>
      <c r="F193">
        <f>COUNTIFS($D$2:D193,D193)</f>
        <v>13</v>
      </c>
      <c r="G193" t="str">
        <f t="shared" si="2"/>
        <v>3871B</v>
      </c>
      <c r="H193">
        <v>5.4502537000000002</v>
      </c>
      <c r="I193">
        <v>52.173616500000001</v>
      </c>
      <c r="J193" t="s">
        <v>390</v>
      </c>
      <c r="K193" t="s">
        <v>359</v>
      </c>
      <c r="L193" t="s">
        <v>33</v>
      </c>
      <c r="M193" t="s">
        <v>6</v>
      </c>
    </row>
    <row r="194" spans="1:13" x14ac:dyDescent="0.25">
      <c r="A194" s="3" t="s">
        <v>32</v>
      </c>
      <c r="B194" s="4">
        <v>14</v>
      </c>
      <c r="C194" s="4"/>
      <c r="D194" s="4" t="s">
        <v>33</v>
      </c>
      <c r="E194" s="4" t="s">
        <v>6</v>
      </c>
      <c r="F194">
        <f>COUNTIFS($D$2:D194,D194)</f>
        <v>14</v>
      </c>
      <c r="G194" t="str">
        <f t="shared" ref="G194:G257" si="3">LEFT(A194,5)</f>
        <v>3871B</v>
      </c>
      <c r="H194">
        <v>5.4502261000000001</v>
      </c>
      <c r="I194">
        <v>52.173884000000001</v>
      </c>
      <c r="J194" t="s">
        <v>390</v>
      </c>
      <c r="K194" t="s">
        <v>266</v>
      </c>
      <c r="L194" t="s">
        <v>33</v>
      </c>
      <c r="M194" t="s">
        <v>6</v>
      </c>
    </row>
    <row r="195" spans="1:13" x14ac:dyDescent="0.25">
      <c r="A195" s="3" t="s">
        <v>32</v>
      </c>
      <c r="B195" s="4">
        <v>15</v>
      </c>
      <c r="C195" s="4"/>
      <c r="D195" s="4" t="s">
        <v>33</v>
      </c>
      <c r="E195" s="4" t="s">
        <v>6</v>
      </c>
      <c r="F195">
        <f>COUNTIFS($D$2:D195,D195)</f>
        <v>15</v>
      </c>
      <c r="G195" t="str">
        <f t="shared" si="3"/>
        <v>3871B</v>
      </c>
      <c r="H195">
        <v>5.4501368000000001</v>
      </c>
      <c r="I195">
        <v>52.173616600000003</v>
      </c>
      <c r="J195" t="s">
        <v>390</v>
      </c>
      <c r="K195" t="s">
        <v>383</v>
      </c>
      <c r="L195" t="s">
        <v>33</v>
      </c>
      <c r="M195" t="s">
        <v>6</v>
      </c>
    </row>
    <row r="196" spans="1:13" x14ac:dyDescent="0.25">
      <c r="A196" s="3" t="s">
        <v>32</v>
      </c>
      <c r="B196" s="4">
        <v>16</v>
      </c>
      <c r="C196" s="4"/>
      <c r="D196" s="4" t="s">
        <v>33</v>
      </c>
      <c r="E196" s="4" t="s">
        <v>6</v>
      </c>
      <c r="F196">
        <f>COUNTIFS($D$2:D196,D196)</f>
        <v>16</v>
      </c>
      <c r="G196" t="str">
        <f t="shared" si="3"/>
        <v>3871B</v>
      </c>
      <c r="H196">
        <v>5.4501197000000001</v>
      </c>
      <c r="I196">
        <v>52.173881999999999</v>
      </c>
      <c r="J196" t="s">
        <v>390</v>
      </c>
      <c r="K196" t="s">
        <v>371</v>
      </c>
      <c r="L196" t="s">
        <v>33</v>
      </c>
      <c r="M196" t="s">
        <v>6</v>
      </c>
    </row>
    <row r="197" spans="1:13" x14ac:dyDescent="0.25">
      <c r="A197" s="3" t="s">
        <v>34</v>
      </c>
      <c r="B197" s="4">
        <v>1</v>
      </c>
      <c r="C197" s="4"/>
      <c r="D197" s="4" t="s">
        <v>35</v>
      </c>
      <c r="E197" s="4" t="s">
        <v>6</v>
      </c>
      <c r="F197">
        <f>COUNTIFS($D$2:D197,D197)</f>
        <v>1</v>
      </c>
      <c r="G197" t="str">
        <f t="shared" si="3"/>
        <v>3871B</v>
      </c>
      <c r="H197">
        <v>5.4501286000000002</v>
      </c>
      <c r="I197">
        <v>52.1726831</v>
      </c>
      <c r="J197" t="s">
        <v>392</v>
      </c>
      <c r="K197" t="s">
        <v>355</v>
      </c>
      <c r="L197" t="s">
        <v>35</v>
      </c>
      <c r="M197" t="s">
        <v>6</v>
      </c>
    </row>
    <row r="198" spans="1:13" x14ac:dyDescent="0.25">
      <c r="A198" s="3" t="s">
        <v>34</v>
      </c>
      <c r="B198" s="4">
        <v>2</v>
      </c>
      <c r="C198" s="4"/>
      <c r="D198" s="4" t="s">
        <v>35</v>
      </c>
      <c r="E198" s="4" t="s">
        <v>6</v>
      </c>
      <c r="F198">
        <f>COUNTIFS($D$2:D198,D198)</f>
        <v>2</v>
      </c>
      <c r="G198" t="str">
        <f t="shared" si="3"/>
        <v>3871B</v>
      </c>
      <c r="H198">
        <v>5.4496121999999998</v>
      </c>
      <c r="I198">
        <v>52.173973099999998</v>
      </c>
      <c r="J198" t="s">
        <v>392</v>
      </c>
      <c r="K198" t="s">
        <v>370</v>
      </c>
      <c r="L198" t="s">
        <v>35</v>
      </c>
      <c r="M198" t="s">
        <v>6</v>
      </c>
    </row>
    <row r="199" spans="1:13" x14ac:dyDescent="0.25">
      <c r="A199" s="3" t="s">
        <v>34</v>
      </c>
      <c r="B199" s="4">
        <v>3</v>
      </c>
      <c r="C199" s="4"/>
      <c r="D199" s="4" t="s">
        <v>35</v>
      </c>
      <c r="E199" s="4" t="s">
        <v>6</v>
      </c>
      <c r="F199">
        <f>COUNTIFS($D$2:D199,D199)</f>
        <v>3</v>
      </c>
      <c r="G199" t="str">
        <f t="shared" si="3"/>
        <v>3871B</v>
      </c>
      <c r="H199">
        <v>5.4502046000000002</v>
      </c>
      <c r="I199">
        <v>52.1726709</v>
      </c>
      <c r="J199" t="s">
        <v>392</v>
      </c>
      <c r="K199" t="s">
        <v>356</v>
      </c>
      <c r="L199" t="s">
        <v>35</v>
      </c>
      <c r="M199" t="s">
        <v>6</v>
      </c>
    </row>
    <row r="200" spans="1:13" x14ac:dyDescent="0.25">
      <c r="A200" s="3" t="s">
        <v>34</v>
      </c>
      <c r="B200" s="4">
        <v>4</v>
      </c>
      <c r="C200" s="4"/>
      <c r="D200" s="4" t="s">
        <v>35</v>
      </c>
      <c r="E200" s="4" t="s">
        <v>6</v>
      </c>
      <c r="F200">
        <f>COUNTIFS($D$2:D200,D200)</f>
        <v>4</v>
      </c>
      <c r="G200" t="str">
        <f t="shared" si="3"/>
        <v>3871B</v>
      </c>
      <c r="H200">
        <v>5.4496285000000002</v>
      </c>
      <c r="I200">
        <v>52.173750200000001</v>
      </c>
      <c r="J200" t="s">
        <v>392</v>
      </c>
      <c r="K200" t="s">
        <v>260</v>
      </c>
      <c r="L200" t="s">
        <v>35</v>
      </c>
      <c r="M200" t="s">
        <v>6</v>
      </c>
    </row>
    <row r="201" spans="1:13" x14ac:dyDescent="0.25">
      <c r="A201" s="3" t="s">
        <v>34</v>
      </c>
      <c r="B201" s="4">
        <v>5</v>
      </c>
      <c r="C201" s="4"/>
      <c r="D201" s="4" t="s">
        <v>35</v>
      </c>
      <c r="E201" s="4" t="s">
        <v>6</v>
      </c>
      <c r="F201">
        <f>COUNTIFS($D$2:D201,D201)</f>
        <v>5</v>
      </c>
      <c r="G201" t="str">
        <f t="shared" si="3"/>
        <v>3871B</v>
      </c>
      <c r="H201">
        <v>5.4502818</v>
      </c>
      <c r="I201">
        <v>52.172661499999997</v>
      </c>
      <c r="J201" t="s">
        <v>392</v>
      </c>
      <c r="K201" t="s">
        <v>357</v>
      </c>
      <c r="L201" t="s">
        <v>35</v>
      </c>
      <c r="M201" t="s">
        <v>6</v>
      </c>
    </row>
    <row r="202" spans="1:13" x14ac:dyDescent="0.25">
      <c r="A202" s="3" t="s">
        <v>34</v>
      </c>
      <c r="B202" s="4">
        <v>6</v>
      </c>
      <c r="C202" s="4"/>
      <c r="D202" s="4" t="s">
        <v>35</v>
      </c>
      <c r="E202" s="4" t="s">
        <v>6</v>
      </c>
      <c r="F202">
        <f>COUNTIFS($D$2:D202,D202)</f>
        <v>6</v>
      </c>
      <c r="G202" t="str">
        <f t="shared" si="3"/>
        <v>3871B</v>
      </c>
      <c r="H202">
        <v>5.4496843000000004</v>
      </c>
      <c r="I202">
        <v>52.1732327</v>
      </c>
      <c r="J202" t="s">
        <v>392</v>
      </c>
      <c r="K202" t="s">
        <v>262</v>
      </c>
      <c r="L202" t="s">
        <v>35</v>
      </c>
      <c r="M202" t="s">
        <v>6</v>
      </c>
    </row>
    <row r="203" spans="1:13" x14ac:dyDescent="0.25">
      <c r="A203" s="3" t="s">
        <v>34</v>
      </c>
      <c r="B203" s="4">
        <v>7</v>
      </c>
      <c r="C203" s="4"/>
      <c r="D203" s="4" t="s">
        <v>35</v>
      </c>
      <c r="E203" s="4" t="s">
        <v>6</v>
      </c>
      <c r="F203">
        <f>COUNTIFS($D$2:D203,D203)</f>
        <v>7</v>
      </c>
      <c r="G203" t="str">
        <f t="shared" si="3"/>
        <v>3871B</v>
      </c>
      <c r="H203">
        <v>5.4503522000000002</v>
      </c>
      <c r="I203">
        <v>52.172651899999998</v>
      </c>
      <c r="J203" t="s">
        <v>392</v>
      </c>
      <c r="K203" t="s">
        <v>358</v>
      </c>
      <c r="L203" t="s">
        <v>35</v>
      </c>
      <c r="M203" t="s">
        <v>6</v>
      </c>
    </row>
    <row r="204" spans="1:13" x14ac:dyDescent="0.25">
      <c r="A204" s="3" t="s">
        <v>34</v>
      </c>
      <c r="B204" s="4">
        <v>8</v>
      </c>
      <c r="C204" s="4"/>
      <c r="D204" s="4" t="s">
        <v>35</v>
      </c>
      <c r="E204" s="4" t="s">
        <v>6</v>
      </c>
      <c r="F204">
        <f>COUNTIFS($D$2:D204,D204)</f>
        <v>8</v>
      </c>
      <c r="G204" t="str">
        <f t="shared" si="3"/>
        <v>3871B</v>
      </c>
      <c r="H204">
        <v>5.4496460999999998</v>
      </c>
      <c r="I204">
        <v>52.172833500000003</v>
      </c>
      <c r="J204" t="s">
        <v>392</v>
      </c>
      <c r="K204" t="s">
        <v>263</v>
      </c>
      <c r="L204" t="s">
        <v>35</v>
      </c>
      <c r="M204" t="s">
        <v>6</v>
      </c>
    </row>
    <row r="205" spans="1:13" x14ac:dyDescent="0.25">
      <c r="A205" s="3" t="s">
        <v>34</v>
      </c>
      <c r="B205" s="4">
        <v>9</v>
      </c>
      <c r="C205" s="4"/>
      <c r="D205" s="4" t="s">
        <v>35</v>
      </c>
      <c r="E205" s="4" t="s">
        <v>6</v>
      </c>
      <c r="F205">
        <f>COUNTIFS($D$2:D205,D205)</f>
        <v>9</v>
      </c>
      <c r="G205" t="str">
        <f t="shared" si="3"/>
        <v>3871B</v>
      </c>
      <c r="H205">
        <v>5.4504288000000001</v>
      </c>
      <c r="I205">
        <v>52.172639699999998</v>
      </c>
      <c r="J205" t="s">
        <v>392</v>
      </c>
      <c r="K205" t="s">
        <v>382</v>
      </c>
      <c r="L205" t="s">
        <v>35</v>
      </c>
      <c r="M205" t="s">
        <v>6</v>
      </c>
    </row>
    <row r="206" spans="1:13" x14ac:dyDescent="0.25">
      <c r="A206" s="3" t="s">
        <v>34</v>
      </c>
      <c r="B206" s="4">
        <v>10</v>
      </c>
      <c r="C206" s="4"/>
      <c r="D206" s="4" t="s">
        <v>35</v>
      </c>
      <c r="E206" s="4" t="s">
        <v>6</v>
      </c>
      <c r="F206">
        <f>COUNTIFS($D$2:D206,D206)</f>
        <v>10</v>
      </c>
      <c r="G206" t="str">
        <f t="shared" si="3"/>
        <v>3871B</v>
      </c>
      <c r="H206">
        <v>5.4496530999999999</v>
      </c>
      <c r="I206">
        <v>52.172763000000003</v>
      </c>
      <c r="J206" t="s">
        <v>392</v>
      </c>
      <c r="K206" t="s">
        <v>264</v>
      </c>
      <c r="L206" t="s">
        <v>35</v>
      </c>
      <c r="M206" t="s">
        <v>6</v>
      </c>
    </row>
    <row r="207" spans="1:13" x14ac:dyDescent="0.25">
      <c r="A207" s="3" t="s">
        <v>34</v>
      </c>
      <c r="B207" s="4">
        <v>11</v>
      </c>
      <c r="C207" s="4"/>
      <c r="D207" s="4" t="s">
        <v>35</v>
      </c>
      <c r="E207" s="4" t="s">
        <v>6</v>
      </c>
      <c r="F207">
        <f>COUNTIFS($D$2:D207,D207)</f>
        <v>11</v>
      </c>
      <c r="G207" t="str">
        <f t="shared" si="3"/>
        <v>3871B</v>
      </c>
      <c r="H207">
        <v>5.4504948999999998</v>
      </c>
      <c r="I207">
        <v>52.172628500000002</v>
      </c>
      <c r="J207" t="s">
        <v>392</v>
      </c>
      <c r="K207" t="s">
        <v>391</v>
      </c>
      <c r="L207" t="s">
        <v>35</v>
      </c>
      <c r="M207" t="s">
        <v>6</v>
      </c>
    </row>
    <row r="208" spans="1:13" x14ac:dyDescent="0.25">
      <c r="A208" s="3" t="s">
        <v>34</v>
      </c>
      <c r="B208" s="4">
        <v>12</v>
      </c>
      <c r="C208" s="4"/>
      <c r="D208" s="4" t="s">
        <v>35</v>
      </c>
      <c r="E208" s="4" t="s">
        <v>6</v>
      </c>
      <c r="F208">
        <f>COUNTIFS($D$2:D208,D208)</f>
        <v>12</v>
      </c>
      <c r="G208" t="str">
        <f t="shared" si="3"/>
        <v>3871B</v>
      </c>
      <c r="H208">
        <v>5.4497115000000003</v>
      </c>
      <c r="I208">
        <v>52.172682100000003</v>
      </c>
      <c r="J208" t="s">
        <v>392</v>
      </c>
      <c r="K208" t="s">
        <v>265</v>
      </c>
      <c r="L208" t="s">
        <v>35</v>
      </c>
      <c r="M208" t="s">
        <v>6</v>
      </c>
    </row>
    <row r="209" spans="1:13" x14ac:dyDescent="0.25">
      <c r="A209" s="3" t="s">
        <v>34</v>
      </c>
      <c r="B209" s="4">
        <v>13</v>
      </c>
      <c r="C209" s="4"/>
      <c r="D209" s="4" t="s">
        <v>35</v>
      </c>
      <c r="E209" s="4" t="s">
        <v>6</v>
      </c>
      <c r="F209">
        <f>COUNTIFS($D$2:D209,D209)</f>
        <v>13</v>
      </c>
      <c r="G209" t="str">
        <f t="shared" si="3"/>
        <v>3871B</v>
      </c>
      <c r="H209">
        <v>5.4506142000000004</v>
      </c>
      <c r="I209">
        <v>52.1727281</v>
      </c>
      <c r="J209" t="s">
        <v>392</v>
      </c>
      <c r="K209" t="s">
        <v>359</v>
      </c>
      <c r="L209" t="s">
        <v>35</v>
      </c>
      <c r="M209" t="s">
        <v>6</v>
      </c>
    </row>
    <row r="210" spans="1:13" x14ac:dyDescent="0.25">
      <c r="A210" s="3" t="s">
        <v>34</v>
      </c>
      <c r="B210" s="4">
        <v>14</v>
      </c>
      <c r="C210" s="4"/>
      <c r="D210" s="4" t="s">
        <v>35</v>
      </c>
      <c r="E210" s="4" t="s">
        <v>6</v>
      </c>
      <c r="F210">
        <f>COUNTIFS($D$2:D210,D210)</f>
        <v>14</v>
      </c>
      <c r="G210" t="str">
        <f t="shared" si="3"/>
        <v>3871B</v>
      </c>
      <c r="H210">
        <v>5.4496967999999999</v>
      </c>
      <c r="I210">
        <v>52.172601200000003</v>
      </c>
      <c r="J210" t="s">
        <v>392</v>
      </c>
      <c r="K210" t="s">
        <v>266</v>
      </c>
      <c r="L210" t="s">
        <v>35</v>
      </c>
      <c r="M210" t="s">
        <v>6</v>
      </c>
    </row>
    <row r="211" spans="1:13" x14ac:dyDescent="0.25">
      <c r="A211" s="3" t="s">
        <v>34</v>
      </c>
      <c r="B211" s="4">
        <v>15</v>
      </c>
      <c r="C211" s="4"/>
      <c r="D211" s="4" t="s">
        <v>35</v>
      </c>
      <c r="E211" s="4" t="s">
        <v>6</v>
      </c>
      <c r="F211">
        <f>COUNTIFS($D$2:D211,D211)</f>
        <v>15</v>
      </c>
      <c r="G211" t="str">
        <f t="shared" si="3"/>
        <v>3871B</v>
      </c>
      <c r="H211">
        <v>5.4506848000000003</v>
      </c>
      <c r="I211">
        <v>52.172717599999999</v>
      </c>
      <c r="J211" t="s">
        <v>392</v>
      </c>
      <c r="K211" t="s">
        <v>383</v>
      </c>
      <c r="L211" t="s">
        <v>35</v>
      </c>
      <c r="M211" t="s">
        <v>6</v>
      </c>
    </row>
    <row r="212" spans="1:13" x14ac:dyDescent="0.25">
      <c r="A212" s="3" t="s">
        <v>34</v>
      </c>
      <c r="B212" s="4">
        <v>16</v>
      </c>
      <c r="C212" s="4"/>
      <c r="D212" s="4" t="s">
        <v>35</v>
      </c>
      <c r="E212" s="4" t="s">
        <v>6</v>
      </c>
      <c r="F212">
        <f>COUNTIFS($D$2:D212,D212)</f>
        <v>16</v>
      </c>
      <c r="G212" t="str">
        <f t="shared" si="3"/>
        <v>3871B</v>
      </c>
      <c r="H212">
        <v>5.4497404999999999</v>
      </c>
      <c r="I212">
        <v>52.172538299999999</v>
      </c>
      <c r="J212" t="s">
        <v>392</v>
      </c>
      <c r="K212" t="s">
        <v>371</v>
      </c>
      <c r="L212" t="s">
        <v>35</v>
      </c>
      <c r="M212" t="s">
        <v>6</v>
      </c>
    </row>
    <row r="213" spans="1:13" x14ac:dyDescent="0.25">
      <c r="A213" s="3" t="s">
        <v>34</v>
      </c>
      <c r="B213" s="4">
        <v>17</v>
      </c>
      <c r="C213" s="4"/>
      <c r="D213" s="4" t="s">
        <v>35</v>
      </c>
      <c r="E213" s="4" t="s">
        <v>6</v>
      </c>
      <c r="F213">
        <f>COUNTIFS($D$2:D213,D213)</f>
        <v>17</v>
      </c>
      <c r="G213" t="str">
        <f t="shared" si="3"/>
        <v>3871B</v>
      </c>
      <c r="H213">
        <v>5.4507731000000001</v>
      </c>
      <c r="I213">
        <v>52.172706300000002</v>
      </c>
      <c r="J213" t="s">
        <v>392</v>
      </c>
      <c r="K213" t="s">
        <v>360</v>
      </c>
      <c r="L213" t="s">
        <v>35</v>
      </c>
      <c r="M213" t="s">
        <v>6</v>
      </c>
    </row>
    <row r="214" spans="1:13" x14ac:dyDescent="0.25">
      <c r="A214" s="3" t="s">
        <v>34</v>
      </c>
      <c r="B214" s="4">
        <v>18</v>
      </c>
      <c r="C214" s="4"/>
      <c r="D214" s="4" t="s">
        <v>35</v>
      </c>
      <c r="E214" s="4" t="s">
        <v>6</v>
      </c>
      <c r="F214">
        <f>COUNTIFS($D$2:D214,D214)</f>
        <v>18</v>
      </c>
      <c r="G214" t="str">
        <f t="shared" si="3"/>
        <v>3871B</v>
      </c>
      <c r="H214">
        <v>5.4503542999999999</v>
      </c>
      <c r="I214">
        <v>52.172367199999997</v>
      </c>
      <c r="J214" t="s">
        <v>392</v>
      </c>
      <c r="K214" t="s">
        <v>267</v>
      </c>
      <c r="L214" t="s">
        <v>35</v>
      </c>
      <c r="M214" t="s">
        <v>6</v>
      </c>
    </row>
    <row r="215" spans="1:13" x14ac:dyDescent="0.25">
      <c r="A215" s="3" t="s">
        <v>34</v>
      </c>
      <c r="B215" s="4">
        <v>19</v>
      </c>
      <c r="C215" s="4"/>
      <c r="D215" s="4" t="s">
        <v>35</v>
      </c>
      <c r="E215" s="4" t="s">
        <v>6</v>
      </c>
      <c r="F215">
        <f>COUNTIFS($D$2:D215,D215)</f>
        <v>19</v>
      </c>
      <c r="G215" t="str">
        <f t="shared" si="3"/>
        <v>3871B</v>
      </c>
      <c r="H215">
        <v>5.4508472000000001</v>
      </c>
      <c r="I215">
        <v>52.172696299999998</v>
      </c>
      <c r="J215" t="s">
        <v>392</v>
      </c>
      <c r="K215" t="s">
        <v>361</v>
      </c>
      <c r="L215" t="s">
        <v>35</v>
      </c>
      <c r="M215" t="s">
        <v>6</v>
      </c>
    </row>
    <row r="216" spans="1:13" x14ac:dyDescent="0.25">
      <c r="A216" s="3" t="s">
        <v>34</v>
      </c>
      <c r="B216" s="4">
        <v>20</v>
      </c>
      <c r="C216" s="4"/>
      <c r="D216" s="4" t="s">
        <v>35</v>
      </c>
      <c r="E216" s="4" t="s">
        <v>6</v>
      </c>
      <c r="F216">
        <f>COUNTIFS($D$2:D216,D216)</f>
        <v>20</v>
      </c>
      <c r="G216" t="str">
        <f t="shared" si="3"/>
        <v>3871B</v>
      </c>
      <c r="H216">
        <v>5.4503687999999997</v>
      </c>
      <c r="I216">
        <v>52.172295300000002</v>
      </c>
      <c r="J216" t="s">
        <v>392</v>
      </c>
      <c r="K216" t="s">
        <v>372</v>
      </c>
      <c r="L216" t="s">
        <v>35</v>
      </c>
      <c r="M216" t="s">
        <v>6</v>
      </c>
    </row>
    <row r="217" spans="1:13" x14ac:dyDescent="0.25">
      <c r="A217" s="3" t="s">
        <v>34</v>
      </c>
      <c r="B217" s="4">
        <v>21</v>
      </c>
      <c r="C217" s="4"/>
      <c r="D217" s="4" t="s">
        <v>35</v>
      </c>
      <c r="E217" s="4" t="s">
        <v>6</v>
      </c>
      <c r="F217">
        <f>COUNTIFS($D$2:D217,D217)</f>
        <v>21</v>
      </c>
      <c r="G217" t="str">
        <f t="shared" si="3"/>
        <v>3871B</v>
      </c>
      <c r="H217">
        <v>5.4509243999999999</v>
      </c>
      <c r="I217">
        <v>52.1726849</v>
      </c>
      <c r="J217" t="s">
        <v>392</v>
      </c>
      <c r="K217" t="s">
        <v>362</v>
      </c>
      <c r="L217" t="s">
        <v>35</v>
      </c>
      <c r="M217" t="s">
        <v>6</v>
      </c>
    </row>
    <row r="218" spans="1:13" x14ac:dyDescent="0.25">
      <c r="A218" s="3" t="s">
        <v>34</v>
      </c>
      <c r="B218" s="4">
        <v>22</v>
      </c>
      <c r="C218" s="4"/>
      <c r="D218" s="4" t="s">
        <v>35</v>
      </c>
      <c r="E218" s="4" t="s">
        <v>6</v>
      </c>
      <c r="F218">
        <f>COUNTIFS($D$2:D218,D218)</f>
        <v>22</v>
      </c>
      <c r="G218" t="str">
        <f t="shared" si="3"/>
        <v>3871B</v>
      </c>
      <c r="H218">
        <v>5.4503687000000003</v>
      </c>
      <c r="I218">
        <v>52.1722234</v>
      </c>
      <c r="J218" t="s">
        <v>392</v>
      </c>
      <c r="K218" t="s">
        <v>269</v>
      </c>
      <c r="L218" t="s">
        <v>35</v>
      </c>
      <c r="M218" t="s">
        <v>6</v>
      </c>
    </row>
    <row r="219" spans="1:13" x14ac:dyDescent="0.25">
      <c r="A219" s="3" t="s">
        <v>34</v>
      </c>
      <c r="B219" s="4">
        <v>23</v>
      </c>
      <c r="C219" s="4"/>
      <c r="D219" s="4" t="s">
        <v>35</v>
      </c>
      <c r="E219" s="4" t="s">
        <v>6</v>
      </c>
      <c r="F219">
        <f>COUNTIFS($D$2:D219,D219)</f>
        <v>23</v>
      </c>
      <c r="G219" t="str">
        <f t="shared" si="3"/>
        <v>3871B</v>
      </c>
      <c r="H219">
        <v>5.4509971999999998</v>
      </c>
      <c r="I219">
        <v>52.172674100000002</v>
      </c>
      <c r="J219" t="s">
        <v>392</v>
      </c>
      <c r="K219" t="s">
        <v>384</v>
      </c>
      <c r="L219" t="s">
        <v>35</v>
      </c>
      <c r="M219" t="s">
        <v>6</v>
      </c>
    </row>
    <row r="220" spans="1:13" x14ac:dyDescent="0.25">
      <c r="A220" s="3" t="s">
        <v>34</v>
      </c>
      <c r="B220" s="4">
        <v>24</v>
      </c>
      <c r="C220" s="4"/>
      <c r="D220" s="4" t="s">
        <v>35</v>
      </c>
      <c r="E220" s="4" t="s">
        <v>6</v>
      </c>
      <c r="F220">
        <f>COUNTIFS($D$2:D220,D220)</f>
        <v>24</v>
      </c>
      <c r="G220" t="str">
        <f t="shared" si="3"/>
        <v>3871B</v>
      </c>
      <c r="H220">
        <v>5.4503832000000001</v>
      </c>
      <c r="I220">
        <v>52.1721425</v>
      </c>
      <c r="J220" t="s">
        <v>392</v>
      </c>
      <c r="K220" t="s">
        <v>270</v>
      </c>
      <c r="L220" t="s">
        <v>35</v>
      </c>
      <c r="M220" t="s">
        <v>6</v>
      </c>
    </row>
    <row r="221" spans="1:13" x14ac:dyDescent="0.25">
      <c r="A221" s="3" t="s">
        <v>34</v>
      </c>
      <c r="B221" s="4">
        <v>25</v>
      </c>
      <c r="C221" s="4"/>
      <c r="D221" s="4" t="s">
        <v>35</v>
      </c>
      <c r="E221" s="4" t="s">
        <v>6</v>
      </c>
      <c r="F221">
        <f>COUNTIFS($D$2:D221,D221)</f>
        <v>25</v>
      </c>
      <c r="G221" t="str">
        <f t="shared" si="3"/>
        <v>3871B</v>
      </c>
      <c r="H221">
        <v>5.4510679</v>
      </c>
      <c r="I221">
        <v>52.172662099999997</v>
      </c>
      <c r="J221" t="s">
        <v>392</v>
      </c>
      <c r="K221" t="s">
        <v>385</v>
      </c>
      <c r="L221" t="s">
        <v>35</v>
      </c>
      <c r="M221" t="s">
        <v>6</v>
      </c>
    </row>
    <row r="222" spans="1:13" x14ac:dyDescent="0.25">
      <c r="A222" s="3" t="s">
        <v>34</v>
      </c>
      <c r="B222" s="4">
        <v>26</v>
      </c>
      <c r="C222" s="4"/>
      <c r="D222" s="4" t="s">
        <v>35</v>
      </c>
      <c r="E222" s="4" t="s">
        <v>6</v>
      </c>
      <c r="F222">
        <f>COUNTIFS($D$2:D222,D222)</f>
        <v>26</v>
      </c>
      <c r="G222" t="str">
        <f t="shared" si="3"/>
        <v>3871B</v>
      </c>
      <c r="H222">
        <v>5.4503830999999998</v>
      </c>
      <c r="I222">
        <v>52.172079500000002</v>
      </c>
      <c r="J222" t="s">
        <v>392</v>
      </c>
      <c r="K222" t="s">
        <v>271</v>
      </c>
      <c r="L222" t="s">
        <v>35</v>
      </c>
      <c r="M222" t="s">
        <v>6</v>
      </c>
    </row>
    <row r="223" spans="1:13" x14ac:dyDescent="0.25">
      <c r="A223" s="3" t="s">
        <v>34</v>
      </c>
      <c r="B223" s="4">
        <v>27</v>
      </c>
      <c r="C223" s="4"/>
      <c r="D223" s="4" t="s">
        <v>35</v>
      </c>
      <c r="E223" s="4" t="s">
        <v>6</v>
      </c>
      <c r="F223">
        <f>COUNTIFS($D$2:D223,D223)</f>
        <v>27</v>
      </c>
      <c r="G223" t="str">
        <f t="shared" si="3"/>
        <v>3871B</v>
      </c>
      <c r="H223">
        <v>5.4509243999999999</v>
      </c>
      <c r="I223">
        <v>52.172375799999998</v>
      </c>
      <c r="J223" t="s">
        <v>392</v>
      </c>
      <c r="K223" t="s">
        <v>393</v>
      </c>
      <c r="L223" t="s">
        <v>35</v>
      </c>
      <c r="M223" t="s">
        <v>6</v>
      </c>
    </row>
    <row r="224" spans="1:13" x14ac:dyDescent="0.25">
      <c r="A224" s="3" t="s">
        <v>34</v>
      </c>
      <c r="B224" s="4">
        <v>28</v>
      </c>
      <c r="C224" s="4"/>
      <c r="D224" s="4" t="s">
        <v>35</v>
      </c>
      <c r="E224" s="4" t="s">
        <v>6</v>
      </c>
      <c r="F224">
        <f>COUNTIFS($D$2:D224,D224)</f>
        <v>28</v>
      </c>
      <c r="G224" t="str">
        <f t="shared" si="3"/>
        <v>3871B</v>
      </c>
      <c r="H224">
        <v>5.4502514</v>
      </c>
      <c r="I224">
        <v>52.171971800000001</v>
      </c>
      <c r="J224" t="s">
        <v>392</v>
      </c>
      <c r="K224" t="s">
        <v>272</v>
      </c>
      <c r="L224" t="s">
        <v>35</v>
      </c>
      <c r="M224" t="s">
        <v>6</v>
      </c>
    </row>
    <row r="225" spans="1:13" x14ac:dyDescent="0.25">
      <c r="A225" s="3" t="s">
        <v>34</v>
      </c>
      <c r="B225" s="4">
        <v>29</v>
      </c>
      <c r="C225" s="4"/>
      <c r="D225" s="4" t="s">
        <v>35</v>
      </c>
      <c r="E225" s="4" t="s">
        <v>6</v>
      </c>
      <c r="F225">
        <f>COUNTIFS($D$2:D225,D225)</f>
        <v>29</v>
      </c>
      <c r="G225" t="str">
        <f t="shared" si="3"/>
        <v>3871B</v>
      </c>
      <c r="H225">
        <v>5.4509242000000002</v>
      </c>
      <c r="I225">
        <v>52.172268000000003</v>
      </c>
      <c r="J225" t="s">
        <v>392</v>
      </c>
      <c r="K225" t="s">
        <v>364</v>
      </c>
      <c r="L225" t="s">
        <v>35</v>
      </c>
      <c r="M225" t="s">
        <v>6</v>
      </c>
    </row>
    <row r="226" spans="1:13" x14ac:dyDescent="0.25">
      <c r="A226" s="3" t="s">
        <v>34</v>
      </c>
      <c r="B226" s="4">
        <v>30</v>
      </c>
      <c r="C226" s="4"/>
      <c r="D226" s="4" t="s">
        <v>35</v>
      </c>
      <c r="E226" s="4" t="s">
        <v>6</v>
      </c>
      <c r="F226">
        <f>COUNTIFS($D$2:D226,D226)</f>
        <v>30</v>
      </c>
      <c r="G226" t="str">
        <f t="shared" si="3"/>
        <v>3871B</v>
      </c>
      <c r="H226">
        <v>5.4502658999999998</v>
      </c>
      <c r="I226">
        <v>52.171899799999998</v>
      </c>
      <c r="J226" t="s">
        <v>392</v>
      </c>
      <c r="K226" t="s">
        <v>373</v>
      </c>
      <c r="L226" t="s">
        <v>35</v>
      </c>
      <c r="M226" t="s">
        <v>6</v>
      </c>
    </row>
    <row r="227" spans="1:13" x14ac:dyDescent="0.25">
      <c r="A227" s="3" t="s">
        <v>34</v>
      </c>
      <c r="B227" s="4">
        <v>31</v>
      </c>
      <c r="C227" s="4"/>
      <c r="D227" s="4" t="s">
        <v>35</v>
      </c>
      <c r="E227" s="4" t="s">
        <v>6</v>
      </c>
      <c r="F227">
        <f>COUNTIFS($D$2:D227,D227)</f>
        <v>31</v>
      </c>
      <c r="G227" t="str">
        <f t="shared" si="3"/>
        <v>3871B</v>
      </c>
      <c r="H227">
        <v>5.4509388000000003</v>
      </c>
      <c r="I227">
        <v>52.172214099999998</v>
      </c>
      <c r="J227" t="s">
        <v>392</v>
      </c>
      <c r="K227" t="s">
        <v>323</v>
      </c>
      <c r="L227" t="s">
        <v>35</v>
      </c>
      <c r="M227" t="s">
        <v>6</v>
      </c>
    </row>
    <row r="228" spans="1:13" x14ac:dyDescent="0.25">
      <c r="A228" s="3" t="s">
        <v>34</v>
      </c>
      <c r="B228" s="4">
        <v>32</v>
      </c>
      <c r="C228" s="4"/>
      <c r="D228" s="4" t="s">
        <v>35</v>
      </c>
      <c r="E228" s="4" t="s">
        <v>6</v>
      </c>
      <c r="F228">
        <f>COUNTIFS($D$2:D228,D228)</f>
        <v>32</v>
      </c>
      <c r="G228" t="str">
        <f t="shared" si="3"/>
        <v>3871B</v>
      </c>
      <c r="H228">
        <v>5.4503243000000001</v>
      </c>
      <c r="I228">
        <v>52.171827899999997</v>
      </c>
      <c r="J228" t="s">
        <v>392</v>
      </c>
      <c r="K228" t="s">
        <v>273</v>
      </c>
      <c r="L228" t="s">
        <v>35</v>
      </c>
      <c r="M228" t="s">
        <v>6</v>
      </c>
    </row>
    <row r="229" spans="1:13" x14ac:dyDescent="0.25">
      <c r="A229" s="3" t="s">
        <v>34</v>
      </c>
      <c r="B229" s="4">
        <v>33</v>
      </c>
      <c r="C229" s="4"/>
      <c r="D229" s="4" t="s">
        <v>35</v>
      </c>
      <c r="E229" s="4" t="s">
        <v>6</v>
      </c>
      <c r="F229">
        <f>COUNTIFS($D$2:D229,D229)</f>
        <v>33</v>
      </c>
      <c r="G229" t="str">
        <f t="shared" si="3"/>
        <v>3871B</v>
      </c>
      <c r="H229">
        <v>5.4509239999999997</v>
      </c>
      <c r="I229">
        <v>52.172106200000002</v>
      </c>
      <c r="J229" t="s">
        <v>392</v>
      </c>
      <c r="K229" t="s">
        <v>365</v>
      </c>
      <c r="L229" t="s">
        <v>35</v>
      </c>
      <c r="M229" t="s">
        <v>6</v>
      </c>
    </row>
    <row r="230" spans="1:13" x14ac:dyDescent="0.25">
      <c r="A230" s="3" t="s">
        <v>34</v>
      </c>
      <c r="B230" s="4">
        <v>34</v>
      </c>
      <c r="C230" s="4"/>
      <c r="D230" s="4" t="s">
        <v>35</v>
      </c>
      <c r="E230" s="4" t="s">
        <v>6</v>
      </c>
      <c r="F230">
        <f>COUNTIFS($D$2:D230,D230)</f>
        <v>34</v>
      </c>
      <c r="G230" t="str">
        <f t="shared" si="3"/>
        <v>3871B</v>
      </c>
      <c r="H230">
        <v>5.4503387999999999</v>
      </c>
      <c r="I230">
        <v>52.171756000000002</v>
      </c>
      <c r="J230" t="s">
        <v>392</v>
      </c>
      <c r="K230" t="s">
        <v>274</v>
      </c>
      <c r="L230" t="s">
        <v>35</v>
      </c>
      <c r="M230" t="s">
        <v>6</v>
      </c>
    </row>
    <row r="231" spans="1:13" x14ac:dyDescent="0.25">
      <c r="A231" s="3" t="s">
        <v>34</v>
      </c>
      <c r="B231" s="4">
        <v>35</v>
      </c>
      <c r="C231" s="4"/>
      <c r="D231" s="4" t="s">
        <v>35</v>
      </c>
      <c r="E231" s="4" t="s">
        <v>6</v>
      </c>
      <c r="F231">
        <f>COUNTIFS($D$2:D231,D231)</f>
        <v>35</v>
      </c>
      <c r="G231" t="str">
        <f t="shared" si="3"/>
        <v>3871B</v>
      </c>
      <c r="H231">
        <v>5.4509385000000004</v>
      </c>
      <c r="I231">
        <v>52.172052299999997</v>
      </c>
      <c r="J231" t="s">
        <v>392</v>
      </c>
      <c r="K231" t="s">
        <v>366</v>
      </c>
      <c r="L231" t="s">
        <v>35</v>
      </c>
      <c r="M231" t="s">
        <v>6</v>
      </c>
    </row>
    <row r="232" spans="1:13" x14ac:dyDescent="0.25">
      <c r="A232" s="3" t="s">
        <v>34</v>
      </c>
      <c r="B232" s="4">
        <v>36</v>
      </c>
      <c r="C232" s="4"/>
      <c r="D232" s="4" t="s">
        <v>35</v>
      </c>
      <c r="E232" s="4" t="s">
        <v>6</v>
      </c>
      <c r="F232">
        <f>COUNTIFS($D$2:D232,D232)</f>
        <v>36</v>
      </c>
      <c r="G232" t="str">
        <f t="shared" si="3"/>
        <v>3871B</v>
      </c>
      <c r="H232">
        <v>5.4503532999999997</v>
      </c>
      <c r="I232">
        <v>52.1716841</v>
      </c>
      <c r="J232" t="s">
        <v>392</v>
      </c>
      <c r="K232" t="s">
        <v>275</v>
      </c>
      <c r="L232" t="s">
        <v>35</v>
      </c>
      <c r="M232" t="s">
        <v>6</v>
      </c>
    </row>
    <row r="233" spans="1:13" x14ac:dyDescent="0.25">
      <c r="A233" s="3" t="s">
        <v>34</v>
      </c>
      <c r="B233" s="4">
        <v>37</v>
      </c>
      <c r="C233" s="4"/>
      <c r="D233" s="4" t="s">
        <v>35</v>
      </c>
      <c r="E233" s="4" t="s">
        <v>6</v>
      </c>
      <c r="F233">
        <f>COUNTIFS($D$2:D233,D233)</f>
        <v>37</v>
      </c>
      <c r="G233" t="str">
        <f t="shared" si="3"/>
        <v>3871B</v>
      </c>
      <c r="H233">
        <v>5.4507919999999999</v>
      </c>
      <c r="I233">
        <v>52.1717917</v>
      </c>
      <c r="J233" t="s">
        <v>392</v>
      </c>
      <c r="K233" t="s">
        <v>367</v>
      </c>
      <c r="L233" t="s">
        <v>35</v>
      </c>
      <c r="M233" t="s">
        <v>6</v>
      </c>
    </row>
    <row r="234" spans="1:13" x14ac:dyDescent="0.25">
      <c r="A234" s="3" t="s">
        <v>34</v>
      </c>
      <c r="B234" s="4">
        <v>38</v>
      </c>
      <c r="C234" s="4"/>
      <c r="D234" s="4" t="s">
        <v>35</v>
      </c>
      <c r="E234" s="4" t="s">
        <v>6</v>
      </c>
      <c r="F234">
        <f>COUNTIFS($D$2:D234,D234)</f>
        <v>38</v>
      </c>
      <c r="G234" t="str">
        <f t="shared" si="3"/>
        <v>3871B</v>
      </c>
      <c r="H234">
        <v>5.4503532000000003</v>
      </c>
      <c r="I234">
        <v>52.171612199999998</v>
      </c>
      <c r="J234" t="s">
        <v>392</v>
      </c>
      <c r="K234" t="s">
        <v>374</v>
      </c>
      <c r="L234" t="s">
        <v>35</v>
      </c>
      <c r="M234" t="s">
        <v>6</v>
      </c>
    </row>
    <row r="235" spans="1:13" x14ac:dyDescent="0.25">
      <c r="A235" s="3" t="s">
        <v>34</v>
      </c>
      <c r="B235" s="4">
        <v>39</v>
      </c>
      <c r="C235" s="4"/>
      <c r="D235" s="4" t="s">
        <v>35</v>
      </c>
      <c r="E235" s="4" t="s">
        <v>6</v>
      </c>
      <c r="F235">
        <f>COUNTIFS($D$2:D235,D235)</f>
        <v>39</v>
      </c>
      <c r="G235" t="str">
        <f t="shared" si="3"/>
        <v>3871B</v>
      </c>
      <c r="H235">
        <v>5.4508796999999998</v>
      </c>
      <c r="I235">
        <v>52.171800599999997</v>
      </c>
      <c r="J235" t="s">
        <v>392</v>
      </c>
      <c r="K235" t="s">
        <v>368</v>
      </c>
      <c r="L235" t="s">
        <v>35</v>
      </c>
      <c r="M235" t="s">
        <v>6</v>
      </c>
    </row>
    <row r="236" spans="1:13" x14ac:dyDescent="0.25">
      <c r="A236" s="3" t="s">
        <v>34</v>
      </c>
      <c r="B236" s="4">
        <v>40</v>
      </c>
      <c r="C236" s="4"/>
      <c r="D236" s="4" t="s">
        <v>35</v>
      </c>
      <c r="E236" s="4" t="s">
        <v>6</v>
      </c>
      <c r="F236">
        <f>COUNTIFS($D$2:D236,D236)</f>
        <v>40</v>
      </c>
      <c r="G236" t="str">
        <f t="shared" si="3"/>
        <v>3871B</v>
      </c>
      <c r="H236">
        <v>5.4504256</v>
      </c>
      <c r="I236">
        <v>52.171126800000003</v>
      </c>
      <c r="J236" t="s">
        <v>392</v>
      </c>
      <c r="K236" t="s">
        <v>276</v>
      </c>
      <c r="L236" t="s">
        <v>35</v>
      </c>
      <c r="M236" t="s">
        <v>6</v>
      </c>
    </row>
    <row r="237" spans="1:13" x14ac:dyDescent="0.25">
      <c r="A237" s="3" t="s">
        <v>34</v>
      </c>
      <c r="B237" s="4">
        <v>41</v>
      </c>
      <c r="C237" s="4"/>
      <c r="D237" s="4" t="s">
        <v>35</v>
      </c>
      <c r="E237" s="4" t="s">
        <v>6</v>
      </c>
      <c r="F237">
        <f>COUNTIFS($D$2:D237,D237)</f>
        <v>41</v>
      </c>
      <c r="G237" t="str">
        <f t="shared" si="3"/>
        <v>3871B</v>
      </c>
      <c r="H237">
        <v>5.4510550999999996</v>
      </c>
      <c r="I237">
        <v>52.171818500000001</v>
      </c>
      <c r="J237" t="s">
        <v>392</v>
      </c>
      <c r="K237" t="s">
        <v>325</v>
      </c>
      <c r="L237" t="s">
        <v>35</v>
      </c>
      <c r="M237" t="s">
        <v>6</v>
      </c>
    </row>
    <row r="238" spans="1:13" x14ac:dyDescent="0.25">
      <c r="A238" s="3" t="s">
        <v>34</v>
      </c>
      <c r="B238" s="4">
        <v>42</v>
      </c>
      <c r="C238" s="4"/>
      <c r="D238" s="4" t="s">
        <v>35</v>
      </c>
      <c r="E238" s="4" t="s">
        <v>6</v>
      </c>
      <c r="F238">
        <f>COUNTIFS($D$2:D238,D238)</f>
        <v>42</v>
      </c>
      <c r="G238" t="str">
        <f t="shared" si="3"/>
        <v>3871B</v>
      </c>
      <c r="H238">
        <v>5.4503389999999996</v>
      </c>
      <c r="I238">
        <v>52.171067899999997</v>
      </c>
      <c r="J238" t="s">
        <v>392</v>
      </c>
      <c r="K238" t="s">
        <v>376</v>
      </c>
      <c r="L238" t="s">
        <v>35</v>
      </c>
      <c r="M238" t="s">
        <v>6</v>
      </c>
    </row>
    <row r="239" spans="1:13" x14ac:dyDescent="0.25">
      <c r="A239" s="3" t="s">
        <v>34</v>
      </c>
      <c r="B239" s="4">
        <v>43</v>
      </c>
      <c r="C239" s="4"/>
      <c r="D239" s="4" t="s">
        <v>35</v>
      </c>
      <c r="E239" s="4" t="s">
        <v>6</v>
      </c>
      <c r="F239">
        <f>COUNTIFS($D$2:D239,D239)</f>
        <v>43</v>
      </c>
      <c r="G239" t="str">
        <f t="shared" si="3"/>
        <v>3871B</v>
      </c>
      <c r="H239">
        <v>5.4511428999999998</v>
      </c>
      <c r="I239">
        <v>52.171818500000001</v>
      </c>
      <c r="J239" t="s">
        <v>392</v>
      </c>
      <c r="K239" t="s">
        <v>326</v>
      </c>
      <c r="L239" t="s">
        <v>35</v>
      </c>
      <c r="M239" t="s">
        <v>6</v>
      </c>
    </row>
    <row r="240" spans="1:13" x14ac:dyDescent="0.25">
      <c r="A240" s="3" t="s">
        <v>34</v>
      </c>
      <c r="B240" s="4">
        <v>45</v>
      </c>
      <c r="C240" s="4"/>
      <c r="D240" s="4" t="s">
        <v>35</v>
      </c>
      <c r="E240" s="4" t="s">
        <v>6</v>
      </c>
      <c r="F240">
        <f>COUNTIFS($D$2:D240,D240)</f>
        <v>44</v>
      </c>
      <c r="G240" t="str">
        <f t="shared" si="3"/>
        <v>3871B</v>
      </c>
      <c r="H240">
        <v>5.4509232000000001</v>
      </c>
      <c r="I240">
        <v>52.171557900000003</v>
      </c>
      <c r="J240" t="s">
        <v>392</v>
      </c>
      <c r="K240" t="s">
        <v>327</v>
      </c>
      <c r="L240" t="s">
        <v>35</v>
      </c>
      <c r="M240" t="s">
        <v>6</v>
      </c>
    </row>
    <row r="241" spans="1:13" x14ac:dyDescent="0.25">
      <c r="A241" s="3" t="s">
        <v>34</v>
      </c>
      <c r="B241" s="4">
        <v>47</v>
      </c>
      <c r="C241" s="4"/>
      <c r="D241" s="4" t="s">
        <v>35</v>
      </c>
      <c r="E241" s="4" t="s">
        <v>6</v>
      </c>
      <c r="F241">
        <f>COUNTIFS($D$2:D241,D241)</f>
        <v>45</v>
      </c>
      <c r="G241" t="str">
        <f t="shared" si="3"/>
        <v>3871B</v>
      </c>
      <c r="H241">
        <v>5.4509378000000002</v>
      </c>
      <c r="I241">
        <v>52.171512999999997</v>
      </c>
      <c r="J241" t="s">
        <v>392</v>
      </c>
      <c r="K241" t="s">
        <v>328</v>
      </c>
      <c r="L241" t="s">
        <v>35</v>
      </c>
      <c r="M241" t="s">
        <v>6</v>
      </c>
    </row>
    <row r="242" spans="1:13" x14ac:dyDescent="0.25">
      <c r="A242" s="3" t="s">
        <v>34</v>
      </c>
      <c r="B242" s="4">
        <v>49</v>
      </c>
      <c r="C242" s="4"/>
      <c r="D242" s="4" t="s">
        <v>35</v>
      </c>
      <c r="E242" s="4" t="s">
        <v>6</v>
      </c>
      <c r="F242">
        <f>COUNTIFS($D$2:D242,D242)</f>
        <v>46</v>
      </c>
      <c r="G242" t="str">
        <f t="shared" si="3"/>
        <v>3871B</v>
      </c>
      <c r="H242">
        <v>5.4509667999999998</v>
      </c>
      <c r="I242">
        <v>52.171405100000001</v>
      </c>
      <c r="J242" t="s">
        <v>392</v>
      </c>
      <c r="K242" t="s">
        <v>329</v>
      </c>
      <c r="L242" t="s">
        <v>35</v>
      </c>
      <c r="M242" t="s">
        <v>6</v>
      </c>
    </row>
    <row r="243" spans="1:13" x14ac:dyDescent="0.25">
      <c r="A243" s="3" t="s">
        <v>34</v>
      </c>
      <c r="B243" s="4">
        <v>51</v>
      </c>
      <c r="C243" s="4"/>
      <c r="D243" s="4" t="s">
        <v>35</v>
      </c>
      <c r="E243" s="4" t="s">
        <v>6</v>
      </c>
      <c r="F243">
        <f>COUNTIFS($D$2:D243,D243)</f>
        <v>47</v>
      </c>
      <c r="G243" t="str">
        <f t="shared" si="3"/>
        <v>3871B</v>
      </c>
      <c r="H243">
        <v>5.4509813999999999</v>
      </c>
      <c r="I243">
        <v>52.171342199999998</v>
      </c>
      <c r="J243" t="s">
        <v>392</v>
      </c>
      <c r="K243" t="s">
        <v>331</v>
      </c>
      <c r="L243" t="s">
        <v>35</v>
      </c>
      <c r="M243" t="s">
        <v>6</v>
      </c>
    </row>
    <row r="244" spans="1:13" x14ac:dyDescent="0.25">
      <c r="A244" s="3" t="s">
        <v>34</v>
      </c>
      <c r="B244" s="4">
        <v>53</v>
      </c>
      <c r="C244" s="4"/>
      <c r="D244" s="4" t="s">
        <v>35</v>
      </c>
      <c r="E244" s="4" t="s">
        <v>6</v>
      </c>
      <c r="F244">
        <f>COUNTIFS($D$2:D244,D244)</f>
        <v>48</v>
      </c>
      <c r="G244" t="str">
        <f t="shared" si="3"/>
        <v>3871B</v>
      </c>
      <c r="H244">
        <v>5.4510835000000002</v>
      </c>
      <c r="I244">
        <v>52.171189400000003</v>
      </c>
      <c r="J244" t="s">
        <v>392</v>
      </c>
      <c r="K244" t="s">
        <v>332</v>
      </c>
      <c r="L244" t="s">
        <v>35</v>
      </c>
      <c r="M244" t="s">
        <v>6</v>
      </c>
    </row>
    <row r="245" spans="1:13" x14ac:dyDescent="0.25">
      <c r="A245" s="3" t="s">
        <v>36</v>
      </c>
      <c r="B245" s="4">
        <v>1</v>
      </c>
      <c r="C245" s="4"/>
      <c r="D245" s="4" t="s">
        <v>37</v>
      </c>
      <c r="E245" s="4" t="s">
        <v>6</v>
      </c>
      <c r="F245">
        <f>COUNTIFS($D$2:D245,D245)</f>
        <v>1</v>
      </c>
      <c r="G245" t="str">
        <f t="shared" si="3"/>
        <v>3871B</v>
      </c>
      <c r="H245">
        <v>5.4508394999999998</v>
      </c>
      <c r="I245">
        <v>52.1742165</v>
      </c>
      <c r="J245" t="s">
        <v>394</v>
      </c>
      <c r="K245" t="s">
        <v>355</v>
      </c>
      <c r="L245" t="s">
        <v>37</v>
      </c>
      <c r="M245" t="s">
        <v>6</v>
      </c>
    </row>
    <row r="246" spans="1:13" x14ac:dyDescent="0.25">
      <c r="A246" s="3" t="s">
        <v>36</v>
      </c>
      <c r="B246" s="4">
        <v>2</v>
      </c>
      <c r="C246" s="4"/>
      <c r="D246" s="4" t="s">
        <v>37</v>
      </c>
      <c r="E246" s="4" t="s">
        <v>6</v>
      </c>
      <c r="F246">
        <f>COUNTIFS($D$2:D246,D246)</f>
        <v>2</v>
      </c>
      <c r="G246" t="str">
        <f t="shared" si="3"/>
        <v>3871B</v>
      </c>
      <c r="H246">
        <v>5.4507368999999999</v>
      </c>
      <c r="I246">
        <v>52.174200499999998</v>
      </c>
      <c r="J246" t="s">
        <v>394</v>
      </c>
      <c r="K246" t="s">
        <v>370</v>
      </c>
      <c r="L246" t="s">
        <v>37</v>
      </c>
      <c r="M246" t="s">
        <v>6</v>
      </c>
    </row>
    <row r="247" spans="1:13" x14ac:dyDescent="0.25">
      <c r="A247" s="3" t="s">
        <v>36</v>
      </c>
      <c r="B247" s="4">
        <v>5</v>
      </c>
      <c r="C247" s="4"/>
      <c r="D247" s="4" t="s">
        <v>37</v>
      </c>
      <c r="E247" s="4" t="s">
        <v>6</v>
      </c>
      <c r="F247">
        <f>COUNTIFS($D$2:D247,D247)</f>
        <v>3</v>
      </c>
      <c r="G247" t="str">
        <f t="shared" si="3"/>
        <v>3871B</v>
      </c>
      <c r="H247">
        <v>5.4503697000000004</v>
      </c>
      <c r="I247">
        <v>52.174222399999998</v>
      </c>
      <c r="J247" t="s">
        <v>394</v>
      </c>
      <c r="K247" t="s">
        <v>357</v>
      </c>
      <c r="L247" t="s">
        <v>37</v>
      </c>
      <c r="M247" t="s">
        <v>6</v>
      </c>
    </row>
    <row r="248" spans="1:13" x14ac:dyDescent="0.25">
      <c r="A248" s="3" t="s">
        <v>36</v>
      </c>
      <c r="B248" s="4">
        <v>6</v>
      </c>
      <c r="C248" s="4"/>
      <c r="D248" s="4" t="s">
        <v>37</v>
      </c>
      <c r="E248" s="4" t="s">
        <v>6</v>
      </c>
      <c r="F248">
        <f>COUNTIFS($D$2:D248,D248)</f>
        <v>4</v>
      </c>
      <c r="G248" t="str">
        <f t="shared" si="3"/>
        <v>3871B</v>
      </c>
      <c r="H248">
        <v>5.4502838000000002</v>
      </c>
      <c r="I248">
        <v>52.174209699999999</v>
      </c>
      <c r="J248" t="s">
        <v>394</v>
      </c>
      <c r="K248" t="s">
        <v>262</v>
      </c>
      <c r="L248" t="s">
        <v>37</v>
      </c>
      <c r="M248" t="s">
        <v>6</v>
      </c>
    </row>
    <row r="249" spans="1:13" x14ac:dyDescent="0.25">
      <c r="A249" s="3" t="s">
        <v>36</v>
      </c>
      <c r="B249" s="4">
        <v>7</v>
      </c>
      <c r="C249" s="4"/>
      <c r="D249" s="4" t="s">
        <v>37</v>
      </c>
      <c r="E249" s="4" t="s">
        <v>6</v>
      </c>
      <c r="F249">
        <f>COUNTIFS($D$2:D249,D249)</f>
        <v>5</v>
      </c>
      <c r="G249" t="str">
        <f t="shared" si="3"/>
        <v>3871B</v>
      </c>
      <c r="H249">
        <v>5.4501884</v>
      </c>
      <c r="I249">
        <v>52.174213199999997</v>
      </c>
      <c r="J249" t="s">
        <v>394</v>
      </c>
      <c r="K249" t="s">
        <v>358</v>
      </c>
      <c r="L249" t="s">
        <v>37</v>
      </c>
      <c r="M249" t="s">
        <v>6</v>
      </c>
    </row>
    <row r="250" spans="1:13" x14ac:dyDescent="0.25">
      <c r="A250" s="3" t="s">
        <v>36</v>
      </c>
      <c r="B250" s="4">
        <v>8</v>
      </c>
      <c r="C250" s="4"/>
      <c r="D250" s="4" t="s">
        <v>37</v>
      </c>
      <c r="E250" s="4" t="s">
        <v>6</v>
      </c>
      <c r="F250">
        <f>COUNTIFS($D$2:D250,D250)</f>
        <v>6</v>
      </c>
      <c r="G250" t="str">
        <f t="shared" si="3"/>
        <v>3871B</v>
      </c>
      <c r="H250">
        <v>5.4500937</v>
      </c>
      <c r="I250">
        <v>52.174200800000001</v>
      </c>
      <c r="J250" t="s">
        <v>394</v>
      </c>
      <c r="K250" t="s">
        <v>263</v>
      </c>
      <c r="L250" t="s">
        <v>37</v>
      </c>
      <c r="M250" t="s">
        <v>6</v>
      </c>
    </row>
    <row r="251" spans="1:13" x14ac:dyDescent="0.25">
      <c r="A251" s="3" t="s">
        <v>36</v>
      </c>
      <c r="B251" s="4">
        <v>9</v>
      </c>
      <c r="C251" s="4"/>
      <c r="D251" s="4" t="s">
        <v>37</v>
      </c>
      <c r="E251" s="4" t="s">
        <v>6</v>
      </c>
      <c r="F251">
        <f>COUNTIFS($D$2:D251,D251)</f>
        <v>7</v>
      </c>
      <c r="G251" t="str">
        <f t="shared" si="3"/>
        <v>3871B</v>
      </c>
      <c r="H251">
        <v>5.4495225999999999</v>
      </c>
      <c r="I251">
        <v>52.174182100000003</v>
      </c>
      <c r="J251" t="s">
        <v>394</v>
      </c>
      <c r="K251" t="s">
        <v>382</v>
      </c>
      <c r="L251" t="s">
        <v>37</v>
      </c>
      <c r="M251" t="s">
        <v>6</v>
      </c>
    </row>
    <row r="252" spans="1:13" x14ac:dyDescent="0.25">
      <c r="A252" s="3" t="s">
        <v>36</v>
      </c>
      <c r="B252" s="4">
        <v>10</v>
      </c>
      <c r="C252" s="4"/>
      <c r="D252" s="4" t="s">
        <v>37</v>
      </c>
      <c r="E252" s="4" t="s">
        <v>6</v>
      </c>
      <c r="F252">
        <f>COUNTIFS($D$2:D252,D252)</f>
        <v>8</v>
      </c>
      <c r="G252" t="str">
        <f t="shared" si="3"/>
        <v>3871B</v>
      </c>
      <c r="H252">
        <v>5.4493393000000001</v>
      </c>
      <c r="I252">
        <v>52.1741739</v>
      </c>
      <c r="J252" t="s">
        <v>394</v>
      </c>
      <c r="K252" t="s">
        <v>264</v>
      </c>
      <c r="L252" t="s">
        <v>37</v>
      </c>
      <c r="M252" t="s">
        <v>6</v>
      </c>
    </row>
    <row r="253" spans="1:13" x14ac:dyDescent="0.25">
      <c r="A253" s="3" t="s">
        <v>38</v>
      </c>
      <c r="B253" s="4">
        <v>1</v>
      </c>
      <c r="C253" s="4"/>
      <c r="D253" s="4" t="s">
        <v>39</v>
      </c>
      <c r="E253" s="4" t="s">
        <v>6</v>
      </c>
      <c r="F253">
        <f>COUNTIFS($D$2:D253,D253)</f>
        <v>1</v>
      </c>
      <c r="G253" t="str">
        <f t="shared" si="3"/>
        <v>3871B</v>
      </c>
      <c r="H253">
        <v>5.4471692999999997</v>
      </c>
      <c r="I253">
        <v>52.173681100000003</v>
      </c>
      <c r="J253" t="s">
        <v>395</v>
      </c>
      <c r="K253" t="s">
        <v>355</v>
      </c>
      <c r="L253" t="s">
        <v>39</v>
      </c>
      <c r="M253" t="s">
        <v>6</v>
      </c>
    </row>
    <row r="254" spans="1:13" x14ac:dyDescent="0.25">
      <c r="A254" s="3" t="s">
        <v>38</v>
      </c>
      <c r="B254" s="4">
        <v>2</v>
      </c>
      <c r="C254" s="4"/>
      <c r="D254" s="4" t="s">
        <v>39</v>
      </c>
      <c r="E254" s="4" t="s">
        <v>6</v>
      </c>
      <c r="F254">
        <f>COUNTIFS($D$2:D254,D254)</f>
        <v>2</v>
      </c>
      <c r="G254" t="str">
        <f t="shared" si="3"/>
        <v>3871B</v>
      </c>
      <c r="H254">
        <v>5.4466722000000001</v>
      </c>
      <c r="I254">
        <v>52.173645399999998</v>
      </c>
      <c r="J254" t="s">
        <v>395</v>
      </c>
      <c r="K254" t="s">
        <v>370</v>
      </c>
      <c r="L254" t="s">
        <v>39</v>
      </c>
      <c r="M254" t="s">
        <v>6</v>
      </c>
    </row>
    <row r="255" spans="1:13" x14ac:dyDescent="0.25">
      <c r="A255" s="3" t="s">
        <v>38</v>
      </c>
      <c r="B255" s="4">
        <v>3</v>
      </c>
      <c r="C255" s="4"/>
      <c r="D255" s="4" t="s">
        <v>39</v>
      </c>
      <c r="E255" s="4" t="s">
        <v>6</v>
      </c>
      <c r="F255">
        <f>COUNTIFS($D$2:D255,D255)</f>
        <v>3</v>
      </c>
      <c r="G255" t="str">
        <f t="shared" si="3"/>
        <v>3871B</v>
      </c>
      <c r="H255">
        <v>5.4471691</v>
      </c>
      <c r="I255">
        <v>52.173591199999997</v>
      </c>
      <c r="J255" t="s">
        <v>395</v>
      </c>
      <c r="K255" t="s">
        <v>356</v>
      </c>
      <c r="L255" t="s">
        <v>39</v>
      </c>
      <c r="M255" t="s">
        <v>6</v>
      </c>
    </row>
    <row r="256" spans="1:13" x14ac:dyDescent="0.25">
      <c r="A256" s="3" t="s">
        <v>38</v>
      </c>
      <c r="B256" s="4">
        <v>4</v>
      </c>
      <c r="C256" s="4"/>
      <c r="D256" s="4" t="s">
        <v>39</v>
      </c>
      <c r="E256" s="4" t="s">
        <v>6</v>
      </c>
      <c r="F256">
        <f>COUNTIFS($D$2:D256,D256)</f>
        <v>4</v>
      </c>
      <c r="G256" t="str">
        <f t="shared" si="3"/>
        <v>3871B</v>
      </c>
      <c r="H256">
        <v>5.4466716999999996</v>
      </c>
      <c r="I256">
        <v>52.173312799999998</v>
      </c>
      <c r="J256" t="s">
        <v>395</v>
      </c>
      <c r="K256" t="s">
        <v>260</v>
      </c>
      <c r="L256" t="s">
        <v>39</v>
      </c>
      <c r="M256" t="s">
        <v>6</v>
      </c>
    </row>
    <row r="257" spans="1:13" x14ac:dyDescent="0.25">
      <c r="A257" s="3" t="s">
        <v>38</v>
      </c>
      <c r="B257" s="4">
        <v>5</v>
      </c>
      <c r="C257" s="4"/>
      <c r="D257" s="4" t="s">
        <v>39</v>
      </c>
      <c r="E257" s="4" t="s">
        <v>6</v>
      </c>
      <c r="F257">
        <f>COUNTIFS($D$2:D257,D257)</f>
        <v>5</v>
      </c>
      <c r="G257" t="str">
        <f t="shared" si="3"/>
        <v>3871B</v>
      </c>
      <c r="H257">
        <v>5.4471980000000002</v>
      </c>
      <c r="I257">
        <v>52.1733215</v>
      </c>
      <c r="J257" t="s">
        <v>395</v>
      </c>
      <c r="K257" t="s">
        <v>357</v>
      </c>
      <c r="L257" t="s">
        <v>39</v>
      </c>
      <c r="M257" t="s">
        <v>6</v>
      </c>
    </row>
    <row r="258" spans="1:13" x14ac:dyDescent="0.25">
      <c r="A258" s="3" t="s">
        <v>38</v>
      </c>
      <c r="B258" s="4">
        <v>6</v>
      </c>
      <c r="C258" s="4"/>
      <c r="D258" s="4" t="s">
        <v>39</v>
      </c>
      <c r="E258" s="4" t="s">
        <v>6</v>
      </c>
      <c r="F258">
        <f>COUNTIFS($D$2:D258,D258)</f>
        <v>6</v>
      </c>
      <c r="G258" t="str">
        <f t="shared" ref="G258:G321" si="4">LEFT(A258,5)</f>
        <v>3871B</v>
      </c>
      <c r="H258">
        <v>5.4466862000000003</v>
      </c>
      <c r="I258">
        <v>52.1732139</v>
      </c>
      <c r="J258" t="s">
        <v>395</v>
      </c>
      <c r="K258" t="s">
        <v>262</v>
      </c>
      <c r="L258" t="s">
        <v>39</v>
      </c>
      <c r="M258" t="s">
        <v>6</v>
      </c>
    </row>
    <row r="259" spans="1:13" x14ac:dyDescent="0.25">
      <c r="A259" s="3" t="s">
        <v>38</v>
      </c>
      <c r="B259" s="4">
        <v>7</v>
      </c>
      <c r="C259" s="4"/>
      <c r="D259" s="4" t="s">
        <v>39</v>
      </c>
      <c r="E259" s="4" t="s">
        <v>6</v>
      </c>
      <c r="F259">
        <f>COUNTIFS($D$2:D259,D259)</f>
        <v>7</v>
      </c>
      <c r="G259" t="str">
        <f t="shared" si="4"/>
        <v>3871B</v>
      </c>
      <c r="H259">
        <v>5.4471685000000001</v>
      </c>
      <c r="I259">
        <v>52.173096899999997</v>
      </c>
      <c r="J259" t="s">
        <v>395</v>
      </c>
      <c r="K259" t="s">
        <v>358</v>
      </c>
      <c r="L259" t="s">
        <v>39</v>
      </c>
      <c r="M259" t="s">
        <v>6</v>
      </c>
    </row>
    <row r="260" spans="1:13" x14ac:dyDescent="0.25">
      <c r="A260" s="3" t="s">
        <v>38</v>
      </c>
      <c r="B260" s="4">
        <v>8</v>
      </c>
      <c r="C260" s="4"/>
      <c r="D260" s="4" t="s">
        <v>39</v>
      </c>
      <c r="E260" s="4" t="s">
        <v>6</v>
      </c>
      <c r="F260">
        <f>COUNTIFS($D$2:D260,D260)</f>
        <v>8</v>
      </c>
      <c r="G260" t="str">
        <f t="shared" si="4"/>
        <v>3871B</v>
      </c>
      <c r="H260">
        <v>5.4466859999999997</v>
      </c>
      <c r="I260">
        <v>52.173061099999998</v>
      </c>
      <c r="J260" t="s">
        <v>395</v>
      </c>
      <c r="K260" t="s">
        <v>263</v>
      </c>
      <c r="L260" t="s">
        <v>39</v>
      </c>
      <c r="M260" t="s">
        <v>6</v>
      </c>
    </row>
    <row r="261" spans="1:13" x14ac:dyDescent="0.25">
      <c r="A261" s="3" t="s">
        <v>40</v>
      </c>
      <c r="B261" s="4">
        <v>2</v>
      </c>
      <c r="C261" s="4"/>
      <c r="D261" s="4" t="s">
        <v>41</v>
      </c>
      <c r="E261" s="4" t="s">
        <v>6</v>
      </c>
      <c r="F261">
        <f>COUNTIFS($D$2:D261,D261)</f>
        <v>1</v>
      </c>
      <c r="G261" t="str">
        <f t="shared" si="4"/>
        <v>3871B</v>
      </c>
      <c r="H261">
        <v>5.4521657000000001</v>
      </c>
      <c r="I261">
        <v>52.174141499999998</v>
      </c>
      <c r="J261" t="s">
        <v>396</v>
      </c>
      <c r="K261" t="s">
        <v>370</v>
      </c>
      <c r="L261" t="s">
        <v>41</v>
      </c>
      <c r="M261" t="s">
        <v>6</v>
      </c>
    </row>
    <row r="262" spans="1:13" x14ac:dyDescent="0.25">
      <c r="A262" s="3" t="s">
        <v>40</v>
      </c>
      <c r="B262" s="4">
        <v>4</v>
      </c>
      <c r="C262" s="4"/>
      <c r="D262" s="4" t="s">
        <v>41</v>
      </c>
      <c r="E262" s="4" t="s">
        <v>6</v>
      </c>
      <c r="F262">
        <f>COUNTIFS($D$2:D262,D262)</f>
        <v>2</v>
      </c>
      <c r="G262" t="str">
        <f t="shared" si="4"/>
        <v>3871B</v>
      </c>
      <c r="H262">
        <v>5.4521454</v>
      </c>
      <c r="I262">
        <v>52.174195599999997</v>
      </c>
      <c r="J262" t="s">
        <v>396</v>
      </c>
      <c r="K262" t="s">
        <v>260</v>
      </c>
      <c r="L262" t="s">
        <v>41</v>
      </c>
      <c r="M262" t="s">
        <v>6</v>
      </c>
    </row>
    <row r="263" spans="1:13" x14ac:dyDescent="0.25">
      <c r="A263" s="3" t="s">
        <v>40</v>
      </c>
      <c r="B263" s="4">
        <v>6</v>
      </c>
      <c r="C263" s="4"/>
      <c r="D263" s="4" t="s">
        <v>41</v>
      </c>
      <c r="E263" s="4" t="s">
        <v>6</v>
      </c>
      <c r="F263">
        <f>COUNTIFS($D$2:D263,D263)</f>
        <v>3</v>
      </c>
      <c r="G263" t="str">
        <f t="shared" si="4"/>
        <v>3871B</v>
      </c>
      <c r="H263">
        <v>5.4521480000000002</v>
      </c>
      <c r="I263">
        <v>52.174264700000002</v>
      </c>
      <c r="J263" t="s">
        <v>396</v>
      </c>
      <c r="K263" t="s">
        <v>262</v>
      </c>
      <c r="L263" t="s">
        <v>41</v>
      </c>
      <c r="M263" t="s">
        <v>6</v>
      </c>
    </row>
    <row r="264" spans="1:13" x14ac:dyDescent="0.25">
      <c r="A264" s="3" t="s">
        <v>40</v>
      </c>
      <c r="B264" s="4">
        <v>8</v>
      </c>
      <c r="C264" s="4"/>
      <c r="D264" s="4" t="s">
        <v>41</v>
      </c>
      <c r="E264" s="4" t="s">
        <v>6</v>
      </c>
      <c r="F264">
        <f>COUNTIFS($D$2:D264,D264)</f>
        <v>4</v>
      </c>
      <c r="G264" t="str">
        <f t="shared" si="4"/>
        <v>3871B</v>
      </c>
      <c r="H264">
        <v>5.4521312999999996</v>
      </c>
      <c r="I264">
        <v>52.174341200000001</v>
      </c>
      <c r="J264" t="s">
        <v>396</v>
      </c>
      <c r="K264" t="s">
        <v>263</v>
      </c>
      <c r="L264" t="s">
        <v>41</v>
      </c>
      <c r="M264" t="s">
        <v>6</v>
      </c>
    </row>
    <row r="265" spans="1:13" x14ac:dyDescent="0.25">
      <c r="A265" s="3" t="s">
        <v>40</v>
      </c>
      <c r="B265" s="4">
        <v>10</v>
      </c>
      <c r="C265" s="4"/>
      <c r="D265" s="4" t="s">
        <v>41</v>
      </c>
      <c r="E265" s="4" t="s">
        <v>6</v>
      </c>
      <c r="F265">
        <f>COUNTIFS($D$2:D265,D265)</f>
        <v>5</v>
      </c>
      <c r="G265" t="str">
        <f t="shared" si="4"/>
        <v>3871B</v>
      </c>
      <c r="H265">
        <v>5.4521164999999998</v>
      </c>
      <c r="I265">
        <v>52.174415799999998</v>
      </c>
      <c r="J265" t="s">
        <v>396</v>
      </c>
      <c r="K265" t="s">
        <v>264</v>
      </c>
      <c r="L265" t="s">
        <v>41</v>
      </c>
      <c r="M265" t="s">
        <v>6</v>
      </c>
    </row>
    <row r="266" spans="1:13" x14ac:dyDescent="0.25">
      <c r="A266" s="3" t="s">
        <v>40</v>
      </c>
      <c r="B266" s="4">
        <v>22</v>
      </c>
      <c r="C266" s="4"/>
      <c r="D266" s="4" t="s">
        <v>41</v>
      </c>
      <c r="E266" s="4" t="s">
        <v>6</v>
      </c>
      <c r="F266">
        <f>COUNTIFS($D$2:D266,D266)</f>
        <v>6</v>
      </c>
      <c r="G266" t="str">
        <f t="shared" si="4"/>
        <v>3871B</v>
      </c>
      <c r="H266">
        <v>5.4518861000000003</v>
      </c>
      <c r="I266">
        <v>52.174000399999997</v>
      </c>
      <c r="J266" t="s">
        <v>396</v>
      </c>
      <c r="K266" t="s">
        <v>269</v>
      </c>
      <c r="L266" t="s">
        <v>41</v>
      </c>
      <c r="M266" t="s">
        <v>6</v>
      </c>
    </row>
    <row r="267" spans="1:13" x14ac:dyDescent="0.25">
      <c r="A267" s="3" t="s">
        <v>40</v>
      </c>
      <c r="B267" s="4">
        <v>24</v>
      </c>
      <c r="C267" s="4"/>
      <c r="D267" s="4" t="s">
        <v>41</v>
      </c>
      <c r="E267" s="4" t="s">
        <v>6</v>
      </c>
      <c r="F267">
        <f>COUNTIFS($D$2:D267,D267)</f>
        <v>7</v>
      </c>
      <c r="G267" t="str">
        <f t="shared" si="4"/>
        <v>3871B</v>
      </c>
      <c r="H267">
        <v>5.4519000999999996</v>
      </c>
      <c r="I267">
        <v>52.173933900000002</v>
      </c>
      <c r="J267" t="s">
        <v>396</v>
      </c>
      <c r="K267" t="s">
        <v>270</v>
      </c>
      <c r="L267" t="s">
        <v>41</v>
      </c>
      <c r="M267" t="s">
        <v>6</v>
      </c>
    </row>
    <row r="268" spans="1:13" x14ac:dyDescent="0.25">
      <c r="A268" s="3" t="s">
        <v>40</v>
      </c>
      <c r="B268" s="4">
        <v>32</v>
      </c>
      <c r="C268" s="4"/>
      <c r="D268" s="4" t="s">
        <v>41</v>
      </c>
      <c r="E268" s="4" t="s">
        <v>6</v>
      </c>
      <c r="F268">
        <f>COUNTIFS($D$2:D268,D268)</f>
        <v>8</v>
      </c>
      <c r="G268" t="str">
        <f t="shared" si="4"/>
        <v>3871B</v>
      </c>
      <c r="H268">
        <v>5.4522184999999999</v>
      </c>
      <c r="I268">
        <v>52.173676499999999</v>
      </c>
      <c r="J268" t="s">
        <v>396</v>
      </c>
      <c r="K268" t="s">
        <v>273</v>
      </c>
      <c r="L268" t="s">
        <v>41</v>
      </c>
      <c r="M268" t="s">
        <v>6</v>
      </c>
    </row>
    <row r="269" spans="1:13" x14ac:dyDescent="0.25">
      <c r="A269" s="3" t="s">
        <v>40</v>
      </c>
      <c r="B269" s="4">
        <v>34</v>
      </c>
      <c r="C269" s="4"/>
      <c r="D269" s="4" t="s">
        <v>41</v>
      </c>
      <c r="E269" s="4" t="s">
        <v>6</v>
      </c>
      <c r="F269">
        <f>COUNTIFS($D$2:D269,D269)</f>
        <v>9</v>
      </c>
      <c r="G269" t="str">
        <f t="shared" si="4"/>
        <v>3871B</v>
      </c>
      <c r="H269">
        <v>5.4522019999999998</v>
      </c>
      <c r="I269">
        <v>52.173749100000002</v>
      </c>
      <c r="J269" t="s">
        <v>396</v>
      </c>
      <c r="K269" t="s">
        <v>274</v>
      </c>
      <c r="L269" t="s">
        <v>41</v>
      </c>
      <c r="M269" t="s">
        <v>6</v>
      </c>
    </row>
    <row r="270" spans="1:13" x14ac:dyDescent="0.25">
      <c r="A270" s="3" t="s">
        <v>40</v>
      </c>
      <c r="B270" s="4">
        <v>36</v>
      </c>
      <c r="C270" s="4"/>
      <c r="D270" s="4" t="s">
        <v>41</v>
      </c>
      <c r="E270" s="4" t="s">
        <v>6</v>
      </c>
      <c r="F270">
        <f>COUNTIFS($D$2:D270,D270)</f>
        <v>10</v>
      </c>
      <c r="G270" t="str">
        <f t="shared" si="4"/>
        <v>3871B</v>
      </c>
      <c r="H270">
        <v>5.4521870999999997</v>
      </c>
      <c r="I270">
        <v>52.173822700000002</v>
      </c>
      <c r="J270" t="s">
        <v>396</v>
      </c>
      <c r="K270" t="s">
        <v>275</v>
      </c>
      <c r="L270" t="s">
        <v>41</v>
      </c>
      <c r="M270" t="s">
        <v>6</v>
      </c>
    </row>
    <row r="271" spans="1:13" x14ac:dyDescent="0.25">
      <c r="A271" s="3" t="s">
        <v>42</v>
      </c>
      <c r="B271" s="4">
        <v>1</v>
      </c>
      <c r="C271" s="4"/>
      <c r="D271" s="4" t="s">
        <v>43</v>
      </c>
      <c r="E271" s="4" t="s">
        <v>6</v>
      </c>
      <c r="F271">
        <f>COUNTIFS($D$2:D271,D271)</f>
        <v>1</v>
      </c>
      <c r="G271" t="str">
        <f t="shared" si="4"/>
        <v>3871B</v>
      </c>
      <c r="H271">
        <v>5.4496395</v>
      </c>
      <c r="I271">
        <v>52.173473100000002</v>
      </c>
      <c r="J271" t="s">
        <v>397</v>
      </c>
      <c r="K271" t="s">
        <v>355</v>
      </c>
      <c r="L271" t="s">
        <v>43</v>
      </c>
      <c r="M271" t="s">
        <v>6</v>
      </c>
    </row>
    <row r="272" spans="1:13" x14ac:dyDescent="0.25">
      <c r="A272" s="3" t="s">
        <v>42</v>
      </c>
      <c r="B272" s="4">
        <v>2</v>
      </c>
      <c r="C272" s="4"/>
      <c r="D272" s="4" t="s">
        <v>43</v>
      </c>
      <c r="E272" s="4" t="s">
        <v>6</v>
      </c>
      <c r="F272">
        <f>COUNTIFS($D$2:D272,D272)</f>
        <v>2</v>
      </c>
      <c r="G272" t="str">
        <f t="shared" si="4"/>
        <v>3871B</v>
      </c>
      <c r="H272">
        <v>5.4493767000000002</v>
      </c>
      <c r="I272">
        <v>52.173697900000001</v>
      </c>
      <c r="J272" t="s">
        <v>397</v>
      </c>
      <c r="K272" t="s">
        <v>370</v>
      </c>
      <c r="L272" t="s">
        <v>43</v>
      </c>
      <c r="M272" t="s">
        <v>6</v>
      </c>
    </row>
    <row r="273" spans="1:13" x14ac:dyDescent="0.25">
      <c r="A273" s="3" t="s">
        <v>42</v>
      </c>
      <c r="B273" s="4">
        <v>3</v>
      </c>
      <c r="C273" s="4"/>
      <c r="D273" s="4" t="s">
        <v>43</v>
      </c>
      <c r="E273" s="4" t="s">
        <v>6</v>
      </c>
      <c r="F273">
        <f>COUNTIFS($D$2:D273,D273)</f>
        <v>3</v>
      </c>
      <c r="G273" t="str">
        <f t="shared" si="4"/>
        <v>3871B</v>
      </c>
      <c r="H273">
        <v>5.4493910000000003</v>
      </c>
      <c r="I273">
        <v>52.173464199999998</v>
      </c>
      <c r="J273" t="s">
        <v>397</v>
      </c>
      <c r="K273" t="s">
        <v>356</v>
      </c>
      <c r="L273" t="s">
        <v>43</v>
      </c>
      <c r="M273" t="s">
        <v>6</v>
      </c>
    </row>
    <row r="274" spans="1:13" x14ac:dyDescent="0.25">
      <c r="A274" s="3" t="s">
        <v>42</v>
      </c>
      <c r="B274" s="4">
        <v>5</v>
      </c>
      <c r="C274" s="4"/>
      <c r="D274" s="4" t="s">
        <v>43</v>
      </c>
      <c r="E274" s="4" t="s">
        <v>6</v>
      </c>
      <c r="F274">
        <f>COUNTIFS($D$2:D274,D274)</f>
        <v>4</v>
      </c>
      <c r="G274" t="str">
        <f t="shared" si="4"/>
        <v>3871B</v>
      </c>
      <c r="H274">
        <v>5.4485137999999997</v>
      </c>
      <c r="I274">
        <v>52.173401699999999</v>
      </c>
      <c r="J274" t="s">
        <v>397</v>
      </c>
      <c r="K274" t="s">
        <v>357</v>
      </c>
      <c r="L274" t="s">
        <v>43</v>
      </c>
      <c r="M274" t="s">
        <v>6</v>
      </c>
    </row>
    <row r="275" spans="1:13" x14ac:dyDescent="0.25">
      <c r="A275" s="3" t="s">
        <v>42</v>
      </c>
      <c r="B275" s="4">
        <v>7</v>
      </c>
      <c r="C275" s="4"/>
      <c r="D275" s="4" t="s">
        <v>43</v>
      </c>
      <c r="E275" s="4" t="s">
        <v>6</v>
      </c>
      <c r="F275">
        <f>COUNTIFS($D$2:D275,D275)</f>
        <v>5</v>
      </c>
      <c r="G275" t="str">
        <f t="shared" si="4"/>
        <v>3871B</v>
      </c>
      <c r="H275">
        <v>5.4484260999999998</v>
      </c>
      <c r="I275">
        <v>52.173401800000001</v>
      </c>
      <c r="J275" t="s">
        <v>397</v>
      </c>
      <c r="K275" t="s">
        <v>358</v>
      </c>
      <c r="L275" t="s">
        <v>43</v>
      </c>
      <c r="M275" t="s">
        <v>6</v>
      </c>
    </row>
    <row r="276" spans="1:13" x14ac:dyDescent="0.25">
      <c r="A276" s="3" t="s">
        <v>42</v>
      </c>
      <c r="B276" s="4">
        <v>8</v>
      </c>
      <c r="C276" s="4"/>
      <c r="D276" s="4" t="s">
        <v>43</v>
      </c>
      <c r="E276" s="4" t="s">
        <v>6</v>
      </c>
      <c r="F276">
        <f>COUNTIFS($D$2:D276,D276)</f>
        <v>6</v>
      </c>
      <c r="G276" t="str">
        <f t="shared" si="4"/>
        <v>3871B</v>
      </c>
      <c r="H276">
        <v>5.4478708999999998</v>
      </c>
      <c r="I276">
        <v>52.1736717</v>
      </c>
      <c r="J276" t="s">
        <v>397</v>
      </c>
      <c r="K276" t="s">
        <v>263</v>
      </c>
      <c r="L276" t="s">
        <v>43</v>
      </c>
      <c r="M276" t="s">
        <v>6</v>
      </c>
    </row>
    <row r="277" spans="1:13" x14ac:dyDescent="0.25">
      <c r="A277" s="3" t="s">
        <v>42</v>
      </c>
      <c r="B277" s="4">
        <v>9</v>
      </c>
      <c r="C277" s="4"/>
      <c r="D277" s="4" t="s">
        <v>43</v>
      </c>
      <c r="E277" s="4" t="s">
        <v>6</v>
      </c>
      <c r="F277">
        <f>COUNTIFS($D$2:D277,D277)</f>
        <v>7</v>
      </c>
      <c r="G277" t="str">
        <f t="shared" si="4"/>
        <v>3871B</v>
      </c>
      <c r="H277">
        <v>5.4482945000000003</v>
      </c>
      <c r="I277">
        <v>52.173392900000003</v>
      </c>
      <c r="J277" t="s">
        <v>397</v>
      </c>
      <c r="K277" t="s">
        <v>382</v>
      </c>
      <c r="L277" t="s">
        <v>43</v>
      </c>
      <c r="M277" t="s">
        <v>6</v>
      </c>
    </row>
    <row r="278" spans="1:13" x14ac:dyDescent="0.25">
      <c r="A278" s="3" t="s">
        <v>42</v>
      </c>
      <c r="B278" s="4">
        <v>10</v>
      </c>
      <c r="C278" s="4"/>
      <c r="D278" s="4" t="s">
        <v>43</v>
      </c>
      <c r="E278" s="4" t="s">
        <v>6</v>
      </c>
      <c r="F278">
        <f>COUNTIFS($D$2:D278,D278)</f>
        <v>8</v>
      </c>
      <c r="G278" t="str">
        <f t="shared" si="4"/>
        <v>3871B</v>
      </c>
      <c r="H278">
        <v>5.4477101000000001</v>
      </c>
      <c r="I278">
        <v>52.173671800000001</v>
      </c>
      <c r="J278" t="s">
        <v>397</v>
      </c>
      <c r="K278" t="s">
        <v>264</v>
      </c>
      <c r="L278" t="s">
        <v>43</v>
      </c>
      <c r="M278" t="s">
        <v>6</v>
      </c>
    </row>
    <row r="279" spans="1:13" x14ac:dyDescent="0.25">
      <c r="A279" s="3" t="s">
        <v>42</v>
      </c>
      <c r="B279" s="4">
        <v>11</v>
      </c>
      <c r="C279" s="4"/>
      <c r="D279" s="4" t="s">
        <v>43</v>
      </c>
      <c r="E279" s="4" t="s">
        <v>6</v>
      </c>
      <c r="F279">
        <f>COUNTIFS($D$2:D279,D279)</f>
        <v>9</v>
      </c>
      <c r="G279" t="str">
        <f t="shared" si="4"/>
        <v>3871B</v>
      </c>
      <c r="H279">
        <v>5.4481922000000003</v>
      </c>
      <c r="I279">
        <v>52.173392900000003</v>
      </c>
      <c r="J279" t="s">
        <v>397</v>
      </c>
      <c r="K279" t="s">
        <v>391</v>
      </c>
      <c r="L279" t="s">
        <v>43</v>
      </c>
      <c r="M279" t="s">
        <v>6</v>
      </c>
    </row>
    <row r="280" spans="1:13" x14ac:dyDescent="0.25">
      <c r="A280" s="3" t="s">
        <v>42</v>
      </c>
      <c r="B280" s="4">
        <v>12</v>
      </c>
      <c r="C280" s="4"/>
      <c r="D280" s="4" t="s">
        <v>43</v>
      </c>
      <c r="E280" s="4" t="s">
        <v>6</v>
      </c>
      <c r="F280">
        <f>COUNTIFS($D$2:D280,D280)</f>
        <v>10</v>
      </c>
      <c r="G280" t="str">
        <f t="shared" si="4"/>
        <v>3871B</v>
      </c>
      <c r="H280">
        <v>5.4474761999999997</v>
      </c>
      <c r="I280">
        <v>52.173645</v>
      </c>
      <c r="J280" t="s">
        <v>397</v>
      </c>
      <c r="K280" t="s">
        <v>265</v>
      </c>
      <c r="L280" t="s">
        <v>43</v>
      </c>
      <c r="M280" t="s">
        <v>6</v>
      </c>
    </row>
    <row r="281" spans="1:13" x14ac:dyDescent="0.25">
      <c r="A281" s="3" t="s">
        <v>42</v>
      </c>
      <c r="B281" s="4">
        <v>13</v>
      </c>
      <c r="C281" s="4"/>
      <c r="D281" s="4" t="s">
        <v>43</v>
      </c>
      <c r="E281" s="4" t="s">
        <v>6</v>
      </c>
      <c r="F281">
        <f>COUNTIFS($D$2:D281,D281)</f>
        <v>11</v>
      </c>
      <c r="G281" t="str">
        <f t="shared" si="4"/>
        <v>3871B</v>
      </c>
      <c r="H281">
        <v>5.4476073999999999</v>
      </c>
      <c r="I281">
        <v>52.173339300000002</v>
      </c>
      <c r="J281" t="s">
        <v>397</v>
      </c>
      <c r="K281" t="s">
        <v>359</v>
      </c>
      <c r="L281" t="s">
        <v>43</v>
      </c>
      <c r="M281" t="s">
        <v>6</v>
      </c>
    </row>
    <row r="282" spans="1:13" x14ac:dyDescent="0.25">
      <c r="A282" s="3" t="s">
        <v>44</v>
      </c>
      <c r="B282" s="4">
        <v>2</v>
      </c>
      <c r="C282" s="4"/>
      <c r="D282" s="4" t="s">
        <v>45</v>
      </c>
      <c r="E282" s="4" t="s">
        <v>6</v>
      </c>
      <c r="F282">
        <f>COUNTIFS($D$2:D282,D282)</f>
        <v>1</v>
      </c>
      <c r="G282" t="str">
        <f t="shared" si="4"/>
        <v>3871B</v>
      </c>
      <c r="H282">
        <v>5.4463352</v>
      </c>
      <c r="I282">
        <v>52.172196700000001</v>
      </c>
      <c r="J282" t="s">
        <v>398</v>
      </c>
      <c r="K282" t="s">
        <v>370</v>
      </c>
      <c r="L282" t="s">
        <v>45</v>
      </c>
      <c r="M282" t="s">
        <v>6</v>
      </c>
    </row>
    <row r="283" spans="1:13" x14ac:dyDescent="0.25">
      <c r="A283" s="3" t="s">
        <v>46</v>
      </c>
      <c r="B283" s="4">
        <v>1</v>
      </c>
      <c r="C283" s="4" t="s">
        <v>8</v>
      </c>
      <c r="D283" s="4" t="s">
        <v>47</v>
      </c>
      <c r="E283" s="4" t="s">
        <v>6</v>
      </c>
      <c r="F283">
        <f>COUNTIFS($D$2:D283,D283)</f>
        <v>1</v>
      </c>
      <c r="G283" t="str">
        <f t="shared" si="4"/>
        <v>3871B</v>
      </c>
      <c r="H283">
        <v>5.4515146999999997</v>
      </c>
      <c r="I283">
        <v>52.172854399999999</v>
      </c>
      <c r="J283" t="s">
        <v>399</v>
      </c>
      <c r="K283" t="s">
        <v>400</v>
      </c>
      <c r="L283" t="s">
        <v>47</v>
      </c>
      <c r="M283" t="s">
        <v>6</v>
      </c>
    </row>
    <row r="284" spans="1:13" x14ac:dyDescent="0.25">
      <c r="A284" s="3" t="s">
        <v>46</v>
      </c>
      <c r="B284" s="4">
        <v>1</v>
      </c>
      <c r="C284" s="4"/>
      <c r="D284" s="4" t="s">
        <v>47</v>
      </c>
      <c r="E284" s="4" t="s">
        <v>6</v>
      </c>
      <c r="F284">
        <f>COUNTIFS($D$2:D284,D284)</f>
        <v>2</v>
      </c>
      <c r="G284" t="str">
        <f t="shared" si="4"/>
        <v>3871B</v>
      </c>
      <c r="H284">
        <v>5.4514602999999999</v>
      </c>
      <c r="I284">
        <v>52.172560199999999</v>
      </c>
      <c r="J284" t="s">
        <v>399</v>
      </c>
      <c r="K284" t="s">
        <v>355</v>
      </c>
      <c r="L284" t="s">
        <v>47</v>
      </c>
      <c r="M284" t="s">
        <v>6</v>
      </c>
    </row>
    <row r="285" spans="1:13" x14ac:dyDescent="0.25">
      <c r="A285" s="3" t="s">
        <v>46</v>
      </c>
      <c r="B285" s="4">
        <v>3</v>
      </c>
      <c r="C285" s="4"/>
      <c r="D285" s="4" t="s">
        <v>47</v>
      </c>
      <c r="E285" s="4" t="s">
        <v>6</v>
      </c>
      <c r="F285">
        <f>COUNTIFS($D$2:D285,D285)</f>
        <v>3</v>
      </c>
      <c r="G285" t="str">
        <f t="shared" si="4"/>
        <v>3871B</v>
      </c>
      <c r="H285">
        <v>5.4515381999999999</v>
      </c>
      <c r="I285">
        <v>52.172276599999996</v>
      </c>
      <c r="J285" t="s">
        <v>399</v>
      </c>
      <c r="K285" t="s">
        <v>356</v>
      </c>
      <c r="L285" t="s">
        <v>47</v>
      </c>
      <c r="M285" t="s">
        <v>6</v>
      </c>
    </row>
    <row r="286" spans="1:13" x14ac:dyDescent="0.25">
      <c r="A286" s="3" t="s">
        <v>46</v>
      </c>
      <c r="B286" s="4">
        <v>5</v>
      </c>
      <c r="C286" s="4"/>
      <c r="D286" s="4" t="s">
        <v>47</v>
      </c>
      <c r="E286" s="4" t="s">
        <v>6</v>
      </c>
      <c r="F286">
        <f>COUNTIFS($D$2:D286,D286)</f>
        <v>4</v>
      </c>
      <c r="G286" t="str">
        <f t="shared" si="4"/>
        <v>3871B</v>
      </c>
      <c r="H286">
        <v>5.4515085000000001</v>
      </c>
      <c r="I286">
        <v>52.1719711</v>
      </c>
      <c r="J286" t="s">
        <v>399</v>
      </c>
      <c r="K286" t="s">
        <v>357</v>
      </c>
      <c r="L286" t="s">
        <v>47</v>
      </c>
      <c r="M286" t="s">
        <v>6</v>
      </c>
    </row>
    <row r="287" spans="1:13" x14ac:dyDescent="0.25">
      <c r="A287" s="3" t="s">
        <v>46</v>
      </c>
      <c r="B287" s="4">
        <v>7</v>
      </c>
      <c r="C287" s="4"/>
      <c r="D287" s="4" t="s">
        <v>47</v>
      </c>
      <c r="E287" s="4" t="s">
        <v>6</v>
      </c>
      <c r="F287">
        <f>COUNTIFS($D$2:D287,D287)</f>
        <v>5</v>
      </c>
      <c r="G287" t="str">
        <f t="shared" si="4"/>
        <v>3871B</v>
      </c>
      <c r="H287">
        <v>5.4514056999999996</v>
      </c>
      <c r="I287">
        <v>52.1716476</v>
      </c>
      <c r="J287" t="s">
        <v>399</v>
      </c>
      <c r="K287" t="s">
        <v>358</v>
      </c>
      <c r="L287" t="s">
        <v>47</v>
      </c>
      <c r="M287" t="s">
        <v>6</v>
      </c>
    </row>
    <row r="288" spans="1:13" x14ac:dyDescent="0.25">
      <c r="A288" s="3" t="s">
        <v>46</v>
      </c>
      <c r="B288" s="4">
        <v>9</v>
      </c>
      <c r="C288" s="4"/>
      <c r="D288" s="4" t="s">
        <v>47</v>
      </c>
      <c r="E288" s="4" t="s">
        <v>6</v>
      </c>
      <c r="F288">
        <f>COUNTIFS($D$2:D288,D288)</f>
        <v>6</v>
      </c>
      <c r="G288" t="str">
        <f t="shared" si="4"/>
        <v>3871B</v>
      </c>
      <c r="H288">
        <v>5.4514782000000004</v>
      </c>
      <c r="I288">
        <v>52.171207099999997</v>
      </c>
      <c r="J288" t="s">
        <v>399</v>
      </c>
      <c r="K288" t="s">
        <v>382</v>
      </c>
      <c r="L288" t="s">
        <v>47</v>
      </c>
      <c r="M288" t="s">
        <v>6</v>
      </c>
    </row>
    <row r="289" spans="1:13" x14ac:dyDescent="0.25">
      <c r="A289" s="3" t="s">
        <v>48</v>
      </c>
      <c r="B289" s="4">
        <v>1</v>
      </c>
      <c r="C289" s="4"/>
      <c r="D289" s="4" t="s">
        <v>49</v>
      </c>
      <c r="E289" s="4" t="s">
        <v>6</v>
      </c>
      <c r="F289">
        <f>COUNTIFS($D$2:D289,D289)</f>
        <v>1</v>
      </c>
      <c r="G289" t="str">
        <f t="shared" si="4"/>
        <v>3871C</v>
      </c>
      <c r="H289">
        <v>5.4585825999999997</v>
      </c>
      <c r="I289">
        <v>52.171292899999997</v>
      </c>
      <c r="J289" t="s">
        <v>401</v>
      </c>
      <c r="K289" t="s">
        <v>355</v>
      </c>
      <c r="L289" t="s">
        <v>49</v>
      </c>
      <c r="M289" t="s">
        <v>6</v>
      </c>
    </row>
    <row r="290" spans="1:13" x14ac:dyDescent="0.25">
      <c r="A290" s="3" t="s">
        <v>48</v>
      </c>
      <c r="B290" s="4">
        <v>3</v>
      </c>
      <c r="C290" s="4"/>
      <c r="D290" s="4" t="s">
        <v>49</v>
      </c>
      <c r="E290" s="4" t="s">
        <v>6</v>
      </c>
      <c r="F290">
        <f>COUNTIFS($D$2:D290,D290)</f>
        <v>2</v>
      </c>
      <c r="G290" t="str">
        <f t="shared" si="4"/>
        <v>3871C</v>
      </c>
      <c r="H290">
        <v>5.4590211000000002</v>
      </c>
      <c r="I290">
        <v>52.171283699999996</v>
      </c>
      <c r="J290" t="s">
        <v>401</v>
      </c>
      <c r="K290" t="s">
        <v>356</v>
      </c>
      <c r="L290" t="s">
        <v>49</v>
      </c>
      <c r="M290" t="s">
        <v>6</v>
      </c>
    </row>
    <row r="291" spans="1:13" x14ac:dyDescent="0.25">
      <c r="A291" s="3" t="s">
        <v>48</v>
      </c>
      <c r="B291" s="4">
        <v>5</v>
      </c>
      <c r="C291" s="4"/>
      <c r="D291" s="4" t="s">
        <v>49</v>
      </c>
      <c r="E291" s="4" t="s">
        <v>6</v>
      </c>
      <c r="F291">
        <f>COUNTIFS($D$2:D291,D291)</f>
        <v>3</v>
      </c>
      <c r="G291" t="str">
        <f t="shared" si="4"/>
        <v>3871C</v>
      </c>
      <c r="H291">
        <v>5.4592843000000002</v>
      </c>
      <c r="I291">
        <v>52.171346399999997</v>
      </c>
      <c r="J291" t="s">
        <v>401</v>
      </c>
      <c r="K291" t="s">
        <v>357</v>
      </c>
      <c r="L291" t="s">
        <v>49</v>
      </c>
      <c r="M291" t="s">
        <v>6</v>
      </c>
    </row>
    <row r="292" spans="1:13" x14ac:dyDescent="0.25">
      <c r="A292" s="3" t="s">
        <v>48</v>
      </c>
      <c r="B292" s="4">
        <v>7</v>
      </c>
      <c r="C292" s="4"/>
      <c r="D292" s="4" t="s">
        <v>49</v>
      </c>
      <c r="E292" s="4" t="s">
        <v>6</v>
      </c>
      <c r="F292">
        <f>COUNTIFS($D$2:D292,D292)</f>
        <v>4</v>
      </c>
      <c r="G292" t="str">
        <f t="shared" si="4"/>
        <v>3871C</v>
      </c>
      <c r="H292">
        <v>5.4605851999999997</v>
      </c>
      <c r="I292">
        <v>52.171282699999999</v>
      </c>
      <c r="J292" t="s">
        <v>401</v>
      </c>
      <c r="K292" t="s">
        <v>358</v>
      </c>
      <c r="L292" t="s">
        <v>49</v>
      </c>
      <c r="M292" t="s">
        <v>6</v>
      </c>
    </row>
    <row r="293" spans="1:13" x14ac:dyDescent="0.25">
      <c r="A293" s="3" t="s">
        <v>48</v>
      </c>
      <c r="B293" s="4">
        <v>9</v>
      </c>
      <c r="C293" s="4"/>
      <c r="D293" s="4" t="s">
        <v>49</v>
      </c>
      <c r="E293" s="4" t="s">
        <v>6</v>
      </c>
      <c r="F293">
        <f>COUNTIFS($D$2:D293,D293)</f>
        <v>5</v>
      </c>
      <c r="G293" t="str">
        <f t="shared" si="4"/>
        <v>3871C</v>
      </c>
      <c r="H293">
        <v>5.4605853</v>
      </c>
      <c r="I293">
        <v>52.171345600000002</v>
      </c>
      <c r="J293" t="s">
        <v>401</v>
      </c>
      <c r="K293" t="s">
        <v>382</v>
      </c>
      <c r="L293" t="s">
        <v>49</v>
      </c>
      <c r="M293" t="s">
        <v>6</v>
      </c>
    </row>
    <row r="294" spans="1:13" x14ac:dyDescent="0.25">
      <c r="A294" s="3" t="s">
        <v>48</v>
      </c>
      <c r="B294" s="4">
        <v>11</v>
      </c>
      <c r="C294" s="4"/>
      <c r="D294" s="4" t="s">
        <v>49</v>
      </c>
      <c r="E294" s="4" t="s">
        <v>6</v>
      </c>
      <c r="F294">
        <f>COUNTIFS($D$2:D294,D294)</f>
        <v>6</v>
      </c>
      <c r="G294" t="str">
        <f t="shared" si="4"/>
        <v>3871C</v>
      </c>
      <c r="H294">
        <v>5.4605708000000002</v>
      </c>
      <c r="I294">
        <v>52.1713995</v>
      </c>
      <c r="J294" t="s">
        <v>401</v>
      </c>
      <c r="K294" t="s">
        <v>391</v>
      </c>
      <c r="L294" t="s">
        <v>49</v>
      </c>
      <c r="M294" t="s">
        <v>6</v>
      </c>
    </row>
    <row r="295" spans="1:13" x14ac:dyDescent="0.25">
      <c r="A295" s="3" t="s">
        <v>48</v>
      </c>
      <c r="B295" s="4">
        <v>13</v>
      </c>
      <c r="C295" s="4"/>
      <c r="D295" s="4" t="s">
        <v>49</v>
      </c>
      <c r="E295" s="4" t="s">
        <v>6</v>
      </c>
      <c r="F295">
        <f>COUNTIFS($D$2:D295,D295)</f>
        <v>7</v>
      </c>
      <c r="G295" t="str">
        <f t="shared" si="4"/>
        <v>3871C</v>
      </c>
      <c r="H295">
        <v>5.4610383999999996</v>
      </c>
      <c r="I295">
        <v>52.1713004</v>
      </c>
      <c r="J295" t="s">
        <v>401</v>
      </c>
      <c r="K295" t="s">
        <v>359</v>
      </c>
      <c r="L295" t="s">
        <v>49</v>
      </c>
      <c r="M295" t="s">
        <v>6</v>
      </c>
    </row>
    <row r="296" spans="1:13" x14ac:dyDescent="0.25">
      <c r="A296" s="3" t="s">
        <v>48</v>
      </c>
      <c r="B296" s="4">
        <v>15</v>
      </c>
      <c r="C296" s="4"/>
      <c r="D296" s="4" t="s">
        <v>49</v>
      </c>
      <c r="E296" s="4" t="s">
        <v>6</v>
      </c>
      <c r="F296">
        <f>COUNTIFS($D$2:D296,D296)</f>
        <v>8</v>
      </c>
      <c r="G296" t="str">
        <f t="shared" si="4"/>
        <v>3871C</v>
      </c>
      <c r="H296">
        <v>5.4610384999999999</v>
      </c>
      <c r="I296">
        <v>52.171363300000003</v>
      </c>
      <c r="J296" t="s">
        <v>401</v>
      </c>
      <c r="K296" t="s">
        <v>383</v>
      </c>
      <c r="L296" t="s">
        <v>49</v>
      </c>
      <c r="M296" t="s">
        <v>6</v>
      </c>
    </row>
    <row r="297" spans="1:13" x14ac:dyDescent="0.25">
      <c r="A297" s="3" t="s">
        <v>48</v>
      </c>
      <c r="B297" s="4">
        <v>17</v>
      </c>
      <c r="C297" s="4"/>
      <c r="D297" s="4" t="s">
        <v>49</v>
      </c>
      <c r="E297" s="4" t="s">
        <v>6</v>
      </c>
      <c r="F297">
        <f>COUNTIFS($D$2:D297,D297)</f>
        <v>9</v>
      </c>
      <c r="G297" t="str">
        <f t="shared" si="4"/>
        <v>3871C</v>
      </c>
      <c r="H297">
        <v>5.4610386000000002</v>
      </c>
      <c r="I297">
        <v>52.171426199999999</v>
      </c>
      <c r="J297" t="s">
        <v>401</v>
      </c>
      <c r="K297" t="s">
        <v>360</v>
      </c>
      <c r="L297" t="s">
        <v>49</v>
      </c>
      <c r="M297" t="s">
        <v>6</v>
      </c>
    </row>
    <row r="298" spans="1:13" x14ac:dyDescent="0.25">
      <c r="A298" s="3" t="s">
        <v>48</v>
      </c>
      <c r="B298" s="4">
        <v>19</v>
      </c>
      <c r="C298" s="4"/>
      <c r="D298" s="4" t="s">
        <v>49</v>
      </c>
      <c r="E298" s="4" t="s">
        <v>6</v>
      </c>
      <c r="F298">
        <f>COUNTIFS($D$2:D298,D298)</f>
        <v>10</v>
      </c>
      <c r="G298" t="str">
        <f t="shared" si="4"/>
        <v>3871C</v>
      </c>
      <c r="H298">
        <v>5.4615207999999997</v>
      </c>
      <c r="I298">
        <v>52.171318100000001</v>
      </c>
      <c r="J298" t="s">
        <v>401</v>
      </c>
      <c r="K298" t="s">
        <v>361</v>
      </c>
      <c r="L298" t="s">
        <v>49</v>
      </c>
      <c r="M298" t="s">
        <v>6</v>
      </c>
    </row>
    <row r="299" spans="1:13" x14ac:dyDescent="0.25">
      <c r="A299" s="3" t="s">
        <v>48</v>
      </c>
      <c r="B299" s="4">
        <v>21</v>
      </c>
      <c r="C299" s="4"/>
      <c r="D299" s="4" t="s">
        <v>49</v>
      </c>
      <c r="E299" s="4" t="s">
        <v>6</v>
      </c>
      <c r="F299">
        <f>COUNTIFS($D$2:D299,D299)</f>
        <v>11</v>
      </c>
      <c r="G299" t="str">
        <f t="shared" si="4"/>
        <v>3871C</v>
      </c>
      <c r="H299">
        <v>5.4615209</v>
      </c>
      <c r="I299">
        <v>52.171380999999997</v>
      </c>
      <c r="J299" t="s">
        <v>401</v>
      </c>
      <c r="K299" t="s">
        <v>362</v>
      </c>
      <c r="L299" t="s">
        <v>49</v>
      </c>
      <c r="M299" t="s">
        <v>6</v>
      </c>
    </row>
    <row r="300" spans="1:13" x14ac:dyDescent="0.25">
      <c r="A300" s="3" t="s">
        <v>48</v>
      </c>
      <c r="B300" s="4">
        <v>23</v>
      </c>
      <c r="C300" s="4"/>
      <c r="D300" s="4" t="s">
        <v>49</v>
      </c>
      <c r="E300" s="4" t="s">
        <v>6</v>
      </c>
      <c r="F300">
        <f>COUNTIFS($D$2:D300,D300)</f>
        <v>12</v>
      </c>
      <c r="G300" t="str">
        <f t="shared" si="4"/>
        <v>3871C</v>
      </c>
      <c r="H300">
        <v>5.4615064000000002</v>
      </c>
      <c r="I300">
        <v>52.1714439</v>
      </c>
      <c r="J300" t="s">
        <v>401</v>
      </c>
      <c r="K300" t="s">
        <v>384</v>
      </c>
      <c r="L300" t="s">
        <v>49</v>
      </c>
      <c r="M300" t="s">
        <v>6</v>
      </c>
    </row>
    <row r="301" spans="1:13" x14ac:dyDescent="0.25">
      <c r="A301" s="3" t="s">
        <v>50</v>
      </c>
      <c r="B301" s="4">
        <v>2</v>
      </c>
      <c r="C301" s="4"/>
      <c r="D301" s="4" t="s">
        <v>49</v>
      </c>
      <c r="E301" s="4" t="s">
        <v>6</v>
      </c>
      <c r="F301">
        <f>COUNTIFS($D$2:D301,D301)</f>
        <v>13</v>
      </c>
      <c r="G301" t="str">
        <f t="shared" si="4"/>
        <v>3871C</v>
      </c>
      <c r="H301">
        <v>5.4585090000000003</v>
      </c>
      <c r="I301">
        <v>52.170996299999999</v>
      </c>
      <c r="J301" t="s">
        <v>402</v>
      </c>
      <c r="K301" t="s">
        <v>370</v>
      </c>
      <c r="L301" t="s">
        <v>49</v>
      </c>
      <c r="M301" t="s">
        <v>6</v>
      </c>
    </row>
    <row r="302" spans="1:13" x14ac:dyDescent="0.25">
      <c r="A302" s="3" t="s">
        <v>50</v>
      </c>
      <c r="B302" s="4">
        <v>4</v>
      </c>
      <c r="C302" s="4"/>
      <c r="D302" s="4" t="s">
        <v>49</v>
      </c>
      <c r="E302" s="4" t="s">
        <v>6</v>
      </c>
      <c r="F302">
        <f>COUNTIFS($D$2:D302,D302)</f>
        <v>14</v>
      </c>
      <c r="G302" t="str">
        <f t="shared" si="4"/>
        <v>3871C</v>
      </c>
      <c r="H302">
        <v>5.4586259999999998</v>
      </c>
      <c r="I302">
        <v>52.170996299999999</v>
      </c>
      <c r="J302" t="s">
        <v>402</v>
      </c>
      <c r="K302" t="s">
        <v>260</v>
      </c>
      <c r="L302" t="s">
        <v>49</v>
      </c>
      <c r="M302" t="s">
        <v>6</v>
      </c>
    </row>
    <row r="303" spans="1:13" x14ac:dyDescent="0.25">
      <c r="A303" s="3" t="s">
        <v>50</v>
      </c>
      <c r="B303" s="4">
        <v>6</v>
      </c>
      <c r="C303" s="4"/>
      <c r="D303" s="4" t="s">
        <v>49</v>
      </c>
      <c r="E303" s="4" t="s">
        <v>6</v>
      </c>
      <c r="F303">
        <f>COUNTIFS($D$2:D303,D303)</f>
        <v>15</v>
      </c>
      <c r="G303" t="str">
        <f t="shared" si="4"/>
        <v>3871C</v>
      </c>
      <c r="H303">
        <v>5.4588305999999998</v>
      </c>
      <c r="I303">
        <v>52.171014100000001</v>
      </c>
      <c r="J303" t="s">
        <v>402</v>
      </c>
      <c r="K303" t="s">
        <v>262</v>
      </c>
      <c r="L303" t="s">
        <v>49</v>
      </c>
      <c r="M303" t="s">
        <v>6</v>
      </c>
    </row>
    <row r="304" spans="1:13" x14ac:dyDescent="0.25">
      <c r="A304" s="3" t="s">
        <v>50</v>
      </c>
      <c r="B304" s="4">
        <v>8</v>
      </c>
      <c r="C304" s="4"/>
      <c r="D304" s="4" t="s">
        <v>49</v>
      </c>
      <c r="E304" s="4" t="s">
        <v>6</v>
      </c>
      <c r="F304">
        <f>COUNTIFS($D$2:D304,D304)</f>
        <v>16</v>
      </c>
      <c r="G304" t="str">
        <f t="shared" si="4"/>
        <v>3871C</v>
      </c>
      <c r="H304">
        <v>5.4589183999999999</v>
      </c>
      <c r="I304">
        <v>52.171014100000001</v>
      </c>
      <c r="J304" t="s">
        <v>402</v>
      </c>
      <c r="K304" t="s">
        <v>263</v>
      </c>
      <c r="L304" t="s">
        <v>49</v>
      </c>
      <c r="M304" t="s">
        <v>6</v>
      </c>
    </row>
    <row r="305" spans="1:13" x14ac:dyDescent="0.25">
      <c r="A305" s="3" t="s">
        <v>50</v>
      </c>
      <c r="B305" s="4">
        <v>10</v>
      </c>
      <c r="C305" s="4"/>
      <c r="D305" s="4" t="s">
        <v>49</v>
      </c>
      <c r="E305" s="4" t="s">
        <v>6</v>
      </c>
      <c r="F305">
        <f>COUNTIFS($D$2:D305,D305)</f>
        <v>17</v>
      </c>
      <c r="G305" t="str">
        <f t="shared" si="4"/>
        <v>3871C</v>
      </c>
      <c r="H305">
        <v>5.4591229999999999</v>
      </c>
      <c r="I305">
        <v>52.171022899999997</v>
      </c>
      <c r="J305" t="s">
        <v>402</v>
      </c>
      <c r="K305" t="s">
        <v>264</v>
      </c>
      <c r="L305" t="s">
        <v>49</v>
      </c>
      <c r="M305" t="s">
        <v>6</v>
      </c>
    </row>
    <row r="306" spans="1:13" x14ac:dyDescent="0.25">
      <c r="A306" s="3" t="s">
        <v>50</v>
      </c>
      <c r="B306" s="4">
        <v>12</v>
      </c>
      <c r="C306" s="4"/>
      <c r="D306" s="4" t="s">
        <v>49</v>
      </c>
      <c r="E306" s="4" t="s">
        <v>6</v>
      </c>
      <c r="F306">
        <f>COUNTIFS($D$2:D306,D306)</f>
        <v>18</v>
      </c>
      <c r="G306" t="str">
        <f t="shared" si="4"/>
        <v>3871C</v>
      </c>
      <c r="H306">
        <v>5.4592252999999999</v>
      </c>
      <c r="I306">
        <v>52.171022899999997</v>
      </c>
      <c r="J306" t="s">
        <v>402</v>
      </c>
      <c r="K306" t="s">
        <v>265</v>
      </c>
      <c r="L306" t="s">
        <v>49</v>
      </c>
      <c r="M306" t="s">
        <v>6</v>
      </c>
    </row>
    <row r="307" spans="1:13" x14ac:dyDescent="0.25">
      <c r="A307" s="3" t="s">
        <v>50</v>
      </c>
      <c r="B307" s="4">
        <v>14</v>
      </c>
      <c r="C307" s="4"/>
      <c r="D307" s="4" t="s">
        <v>49</v>
      </c>
      <c r="E307" s="4" t="s">
        <v>6</v>
      </c>
      <c r="F307">
        <f>COUNTIFS($D$2:D307,D307)</f>
        <v>19</v>
      </c>
      <c r="G307" t="str">
        <f t="shared" si="4"/>
        <v>3871C</v>
      </c>
      <c r="H307">
        <v>5.4594300000000002</v>
      </c>
      <c r="I307">
        <v>52.1710317</v>
      </c>
      <c r="J307" t="s">
        <v>402</v>
      </c>
      <c r="K307" t="s">
        <v>266</v>
      </c>
      <c r="L307" t="s">
        <v>49</v>
      </c>
      <c r="M307" t="s">
        <v>6</v>
      </c>
    </row>
    <row r="308" spans="1:13" x14ac:dyDescent="0.25">
      <c r="A308" s="3" t="s">
        <v>50</v>
      </c>
      <c r="B308" s="4">
        <v>16</v>
      </c>
      <c r="C308" s="4"/>
      <c r="D308" s="4" t="s">
        <v>49</v>
      </c>
      <c r="E308" s="4" t="s">
        <v>6</v>
      </c>
      <c r="F308">
        <f>COUNTIFS($D$2:D308,D308)</f>
        <v>20</v>
      </c>
      <c r="G308" t="str">
        <f t="shared" si="4"/>
        <v>3871C</v>
      </c>
      <c r="H308">
        <v>5.4595323000000002</v>
      </c>
      <c r="I308">
        <v>52.171040699999999</v>
      </c>
      <c r="J308" t="s">
        <v>402</v>
      </c>
      <c r="K308" t="s">
        <v>371</v>
      </c>
      <c r="L308" t="s">
        <v>49</v>
      </c>
      <c r="M308" t="s">
        <v>6</v>
      </c>
    </row>
    <row r="309" spans="1:13" x14ac:dyDescent="0.25">
      <c r="A309" s="3" t="s">
        <v>50</v>
      </c>
      <c r="B309" s="4">
        <v>18</v>
      </c>
      <c r="C309" s="4"/>
      <c r="D309" s="4" t="s">
        <v>49</v>
      </c>
      <c r="E309" s="4" t="s">
        <v>6</v>
      </c>
      <c r="F309">
        <f>COUNTIFS($D$2:D309,D309)</f>
        <v>21</v>
      </c>
      <c r="G309" t="str">
        <f t="shared" si="4"/>
        <v>3871C</v>
      </c>
      <c r="H309">
        <v>5.4600463000000001</v>
      </c>
      <c r="I309">
        <v>52.171030799999997</v>
      </c>
      <c r="J309" t="s">
        <v>402</v>
      </c>
      <c r="K309" t="s">
        <v>267</v>
      </c>
      <c r="L309" t="s">
        <v>49</v>
      </c>
      <c r="M309" t="s">
        <v>6</v>
      </c>
    </row>
    <row r="310" spans="1:13" x14ac:dyDescent="0.25">
      <c r="A310" s="3" t="s">
        <v>50</v>
      </c>
      <c r="B310" s="4">
        <v>20</v>
      </c>
      <c r="C310" s="4"/>
      <c r="D310" s="4" t="s">
        <v>49</v>
      </c>
      <c r="E310" s="4" t="s">
        <v>6</v>
      </c>
      <c r="F310">
        <f>COUNTIFS($D$2:D310,D310)</f>
        <v>22</v>
      </c>
      <c r="G310" t="str">
        <f t="shared" si="4"/>
        <v>3871C</v>
      </c>
      <c r="H310">
        <v>5.4602620000000002</v>
      </c>
      <c r="I310">
        <v>52.171049199999999</v>
      </c>
      <c r="J310" t="s">
        <v>402</v>
      </c>
      <c r="K310" t="s">
        <v>372</v>
      </c>
      <c r="L310" t="s">
        <v>49</v>
      </c>
      <c r="M310" t="s">
        <v>6</v>
      </c>
    </row>
    <row r="311" spans="1:13" x14ac:dyDescent="0.25">
      <c r="A311" s="3" t="s">
        <v>50</v>
      </c>
      <c r="B311" s="4">
        <v>22</v>
      </c>
      <c r="C311" s="4"/>
      <c r="D311" s="4" t="s">
        <v>49</v>
      </c>
      <c r="E311" s="4" t="s">
        <v>6</v>
      </c>
      <c r="F311">
        <f>COUNTIFS($D$2:D311,D311)</f>
        <v>23</v>
      </c>
      <c r="G311" t="str">
        <f t="shared" si="4"/>
        <v>3871C</v>
      </c>
      <c r="H311">
        <v>5.4604631000000001</v>
      </c>
      <c r="I311">
        <v>52.171064800000003</v>
      </c>
      <c r="J311" t="s">
        <v>402</v>
      </c>
      <c r="K311" t="s">
        <v>269</v>
      </c>
      <c r="L311" t="s">
        <v>49</v>
      </c>
      <c r="M311" t="s">
        <v>6</v>
      </c>
    </row>
    <row r="312" spans="1:13" x14ac:dyDescent="0.25">
      <c r="A312" s="3" t="s">
        <v>50</v>
      </c>
      <c r="B312" s="4">
        <v>24</v>
      </c>
      <c r="C312" s="4"/>
      <c r="D312" s="4" t="s">
        <v>49</v>
      </c>
      <c r="E312" s="4" t="s">
        <v>6</v>
      </c>
      <c r="F312">
        <f>COUNTIFS($D$2:D312,D312)</f>
        <v>24</v>
      </c>
      <c r="G312" t="str">
        <f t="shared" si="4"/>
        <v>3871C</v>
      </c>
      <c r="H312">
        <v>5.4607153000000004</v>
      </c>
      <c r="I312">
        <v>52.171082300000002</v>
      </c>
      <c r="J312" t="s">
        <v>402</v>
      </c>
      <c r="K312" t="s">
        <v>270</v>
      </c>
      <c r="L312" t="s">
        <v>49</v>
      </c>
      <c r="M312" t="s">
        <v>6</v>
      </c>
    </row>
    <row r="313" spans="1:13" x14ac:dyDescent="0.25">
      <c r="A313" s="3" t="s">
        <v>50</v>
      </c>
      <c r="B313" s="4">
        <v>26</v>
      </c>
      <c r="C313" s="4"/>
      <c r="D313" s="4" t="s">
        <v>49</v>
      </c>
      <c r="E313" s="4" t="s">
        <v>6</v>
      </c>
      <c r="F313">
        <f>COUNTIFS($D$2:D313,D313)</f>
        <v>25</v>
      </c>
      <c r="G313" t="str">
        <f t="shared" si="4"/>
        <v>3871C</v>
      </c>
      <c r="H313">
        <v>5.4608281999999999</v>
      </c>
      <c r="I313">
        <v>52.171103000000002</v>
      </c>
      <c r="J313" t="s">
        <v>402</v>
      </c>
      <c r="K313" t="s">
        <v>271</v>
      </c>
      <c r="L313" t="s">
        <v>49</v>
      </c>
      <c r="M313" t="s">
        <v>6</v>
      </c>
    </row>
    <row r="314" spans="1:13" x14ac:dyDescent="0.25">
      <c r="A314" s="3" t="s">
        <v>50</v>
      </c>
      <c r="B314" s="4">
        <v>28</v>
      </c>
      <c r="C314" s="4"/>
      <c r="D314" s="4" t="s">
        <v>49</v>
      </c>
      <c r="E314" s="4" t="s">
        <v>6</v>
      </c>
      <c r="F314">
        <f>COUNTIFS($D$2:D314,D314)</f>
        <v>26</v>
      </c>
      <c r="G314" t="str">
        <f t="shared" si="4"/>
        <v>3871C</v>
      </c>
      <c r="H314">
        <v>5.4610818999999999</v>
      </c>
      <c r="I314">
        <v>52.171075700000003</v>
      </c>
      <c r="J314" t="s">
        <v>402</v>
      </c>
      <c r="K314" t="s">
        <v>272</v>
      </c>
      <c r="L314" t="s">
        <v>49</v>
      </c>
      <c r="M314" t="s">
        <v>6</v>
      </c>
    </row>
    <row r="315" spans="1:13" x14ac:dyDescent="0.25">
      <c r="A315" s="3" t="s">
        <v>50</v>
      </c>
      <c r="B315" s="4">
        <v>30</v>
      </c>
      <c r="C315" s="4"/>
      <c r="D315" s="4" t="s">
        <v>49</v>
      </c>
      <c r="E315" s="4" t="s">
        <v>6</v>
      </c>
      <c r="F315">
        <f>COUNTIFS($D$2:D315,D315)</f>
        <v>27</v>
      </c>
      <c r="G315" t="str">
        <f t="shared" si="4"/>
        <v>3871C</v>
      </c>
      <c r="H315">
        <v>5.4611988</v>
      </c>
      <c r="I315">
        <v>52.1710846</v>
      </c>
      <c r="J315" t="s">
        <v>402</v>
      </c>
      <c r="K315" t="s">
        <v>373</v>
      </c>
      <c r="L315" t="s">
        <v>49</v>
      </c>
      <c r="M315" t="s">
        <v>6</v>
      </c>
    </row>
    <row r="316" spans="1:13" x14ac:dyDescent="0.25">
      <c r="A316" s="3" t="s">
        <v>50</v>
      </c>
      <c r="B316" s="4">
        <v>32</v>
      </c>
      <c r="C316" s="4"/>
      <c r="D316" s="4" t="s">
        <v>49</v>
      </c>
      <c r="E316" s="4" t="s">
        <v>6</v>
      </c>
      <c r="F316">
        <f>COUNTIFS($D$2:D316,D316)</f>
        <v>28</v>
      </c>
      <c r="G316" t="str">
        <f t="shared" si="4"/>
        <v>3871C</v>
      </c>
      <c r="H316">
        <v>5.4614326999999996</v>
      </c>
      <c r="I316">
        <v>52.171093399999997</v>
      </c>
      <c r="J316" t="s">
        <v>402</v>
      </c>
      <c r="K316" t="s">
        <v>273</v>
      </c>
      <c r="L316" t="s">
        <v>49</v>
      </c>
      <c r="M316" t="s">
        <v>6</v>
      </c>
    </row>
    <row r="317" spans="1:13" x14ac:dyDescent="0.25">
      <c r="A317" s="3" t="s">
        <v>50</v>
      </c>
      <c r="B317" s="4">
        <v>34</v>
      </c>
      <c r="C317" s="4"/>
      <c r="D317" s="4" t="s">
        <v>49</v>
      </c>
      <c r="E317" s="4" t="s">
        <v>6</v>
      </c>
      <c r="F317">
        <f>COUNTIFS($D$2:D317,D317)</f>
        <v>29</v>
      </c>
      <c r="G317" t="str">
        <f t="shared" si="4"/>
        <v>3871C</v>
      </c>
      <c r="H317">
        <v>5.4615204000000004</v>
      </c>
      <c r="I317">
        <v>52.171093399999997</v>
      </c>
      <c r="J317" t="s">
        <v>402</v>
      </c>
      <c r="K317" t="s">
        <v>274</v>
      </c>
      <c r="L317" t="s">
        <v>49</v>
      </c>
      <c r="M317" t="s">
        <v>6</v>
      </c>
    </row>
    <row r="318" spans="1:13" x14ac:dyDescent="0.25">
      <c r="A318" s="3" t="s">
        <v>51</v>
      </c>
      <c r="B318" s="4">
        <v>1</v>
      </c>
      <c r="C318" s="4"/>
      <c r="D318" s="4" t="s">
        <v>52</v>
      </c>
      <c r="E318" s="4" t="s">
        <v>6</v>
      </c>
      <c r="F318">
        <f>COUNTIFS($D$2:D318,D318)</f>
        <v>1</v>
      </c>
      <c r="G318" t="str">
        <f t="shared" si="4"/>
        <v>3871C</v>
      </c>
      <c r="H318">
        <v>5.4620211000000003</v>
      </c>
      <c r="I318">
        <v>52.171509800000003</v>
      </c>
      <c r="J318" t="s">
        <v>403</v>
      </c>
      <c r="K318" t="s">
        <v>355</v>
      </c>
      <c r="L318" t="s">
        <v>52</v>
      </c>
      <c r="M318" t="s">
        <v>6</v>
      </c>
    </row>
    <row r="319" spans="1:13" x14ac:dyDescent="0.25">
      <c r="A319" s="3" t="s">
        <v>51</v>
      </c>
      <c r="B319" s="4">
        <v>3</v>
      </c>
      <c r="C319" s="4"/>
      <c r="D319" s="4" t="s">
        <v>52</v>
      </c>
      <c r="E319" s="4" t="s">
        <v>6</v>
      </c>
      <c r="F319">
        <f>COUNTIFS($D$2:D319,D319)</f>
        <v>2</v>
      </c>
      <c r="G319" t="str">
        <f t="shared" si="4"/>
        <v>3871C</v>
      </c>
      <c r="H319">
        <v>5.4620132000000003</v>
      </c>
      <c r="I319">
        <v>52.171568600000001</v>
      </c>
      <c r="J319" t="s">
        <v>403</v>
      </c>
      <c r="K319" t="s">
        <v>356</v>
      </c>
      <c r="L319" t="s">
        <v>52</v>
      </c>
      <c r="M319" t="s">
        <v>6</v>
      </c>
    </row>
    <row r="320" spans="1:13" x14ac:dyDescent="0.25">
      <c r="A320" s="3" t="s">
        <v>51</v>
      </c>
      <c r="B320" s="4">
        <v>5</v>
      </c>
      <c r="C320" s="4"/>
      <c r="D320" s="4" t="s">
        <v>52</v>
      </c>
      <c r="E320" s="4" t="s">
        <v>6</v>
      </c>
      <c r="F320">
        <f>COUNTIFS($D$2:D320,D320)</f>
        <v>3</v>
      </c>
      <c r="G320" t="str">
        <f t="shared" si="4"/>
        <v>3871C</v>
      </c>
      <c r="H320">
        <v>5.4620053999999998</v>
      </c>
      <c r="I320">
        <v>52.171625400000003</v>
      </c>
      <c r="J320" t="s">
        <v>403</v>
      </c>
      <c r="K320" t="s">
        <v>357</v>
      </c>
      <c r="L320" t="s">
        <v>52</v>
      </c>
      <c r="M320" t="s">
        <v>6</v>
      </c>
    </row>
    <row r="321" spans="1:13" x14ac:dyDescent="0.25">
      <c r="A321" s="3" t="s">
        <v>51</v>
      </c>
      <c r="B321" s="4">
        <v>7</v>
      </c>
      <c r="C321" s="4"/>
      <c r="D321" s="4" t="s">
        <v>52</v>
      </c>
      <c r="E321" s="4" t="s">
        <v>6</v>
      </c>
      <c r="F321">
        <f>COUNTIFS($D$2:D321,D321)</f>
        <v>4</v>
      </c>
      <c r="G321" t="str">
        <f t="shared" si="4"/>
        <v>3871C</v>
      </c>
      <c r="H321">
        <v>5.4623812000000003</v>
      </c>
      <c r="I321">
        <v>52.171529200000002</v>
      </c>
      <c r="J321" t="s">
        <v>403</v>
      </c>
      <c r="K321" t="s">
        <v>358</v>
      </c>
      <c r="L321" t="s">
        <v>52</v>
      </c>
      <c r="M321" t="s">
        <v>6</v>
      </c>
    </row>
    <row r="322" spans="1:13" x14ac:dyDescent="0.25">
      <c r="A322" s="3" t="s">
        <v>51</v>
      </c>
      <c r="B322" s="4">
        <v>9</v>
      </c>
      <c r="C322" s="4"/>
      <c r="D322" s="4" t="s">
        <v>52</v>
      </c>
      <c r="E322" s="4" t="s">
        <v>6</v>
      </c>
      <c r="F322">
        <f>COUNTIFS($D$2:D322,D322)</f>
        <v>5</v>
      </c>
      <c r="G322" t="str">
        <f t="shared" ref="G322:G385" si="5">LEFT(A322,5)</f>
        <v>3871C</v>
      </c>
      <c r="H322">
        <v>5.4623717000000003</v>
      </c>
      <c r="I322">
        <v>52.171587899999999</v>
      </c>
      <c r="J322" t="s">
        <v>403</v>
      </c>
      <c r="K322" t="s">
        <v>382</v>
      </c>
      <c r="L322" t="s">
        <v>52</v>
      </c>
      <c r="M322" t="s">
        <v>6</v>
      </c>
    </row>
    <row r="323" spans="1:13" x14ac:dyDescent="0.25">
      <c r="A323" s="3" t="s">
        <v>51</v>
      </c>
      <c r="B323" s="4">
        <v>11</v>
      </c>
      <c r="C323" s="4"/>
      <c r="D323" s="4" t="s">
        <v>52</v>
      </c>
      <c r="E323" s="4" t="s">
        <v>6</v>
      </c>
      <c r="F323">
        <f>COUNTIFS($D$2:D323,D323)</f>
        <v>6</v>
      </c>
      <c r="G323" t="str">
        <f t="shared" si="5"/>
        <v>3871C</v>
      </c>
      <c r="H323">
        <v>5.4623654000000004</v>
      </c>
      <c r="I323">
        <v>52.171642800000001</v>
      </c>
      <c r="J323" t="s">
        <v>403</v>
      </c>
      <c r="K323" t="s">
        <v>391</v>
      </c>
      <c r="L323" t="s">
        <v>52</v>
      </c>
      <c r="M323" t="s">
        <v>6</v>
      </c>
    </row>
    <row r="324" spans="1:13" x14ac:dyDescent="0.25">
      <c r="A324" s="3" t="s">
        <v>51</v>
      </c>
      <c r="B324" s="4">
        <v>13</v>
      </c>
      <c r="C324" s="4"/>
      <c r="D324" s="4" t="s">
        <v>52</v>
      </c>
      <c r="E324" s="4" t="s">
        <v>6</v>
      </c>
      <c r="F324">
        <f>COUNTIFS($D$2:D324,D324)</f>
        <v>7</v>
      </c>
      <c r="G324" t="str">
        <f t="shared" si="5"/>
        <v>3871C</v>
      </c>
      <c r="H324">
        <v>5.4629044000000002</v>
      </c>
      <c r="I324">
        <v>52.1715996</v>
      </c>
      <c r="J324" t="s">
        <v>403</v>
      </c>
      <c r="K324" t="s">
        <v>359</v>
      </c>
      <c r="L324" t="s">
        <v>52</v>
      </c>
      <c r="M324" t="s">
        <v>6</v>
      </c>
    </row>
    <row r="325" spans="1:13" x14ac:dyDescent="0.25">
      <c r="A325" s="3" t="s">
        <v>51</v>
      </c>
      <c r="B325" s="4">
        <v>15</v>
      </c>
      <c r="C325" s="4"/>
      <c r="D325" s="4" t="s">
        <v>52</v>
      </c>
      <c r="E325" s="4" t="s">
        <v>6</v>
      </c>
      <c r="F325">
        <f>COUNTIFS($D$2:D325,D325)</f>
        <v>8</v>
      </c>
      <c r="G325" t="str">
        <f t="shared" si="5"/>
        <v>3871C</v>
      </c>
      <c r="H325">
        <v>5.4628088000000004</v>
      </c>
      <c r="I325">
        <v>52.171599200000003</v>
      </c>
      <c r="J325" t="s">
        <v>403</v>
      </c>
      <c r="K325" t="s">
        <v>383</v>
      </c>
      <c r="L325" t="s">
        <v>52</v>
      </c>
      <c r="M325" t="s">
        <v>6</v>
      </c>
    </row>
    <row r="326" spans="1:13" x14ac:dyDescent="0.25">
      <c r="A326" s="3" t="s">
        <v>51</v>
      </c>
      <c r="B326" s="4">
        <v>17</v>
      </c>
      <c r="C326" s="4"/>
      <c r="D326" s="4" t="s">
        <v>52</v>
      </c>
      <c r="E326" s="4" t="s">
        <v>6</v>
      </c>
      <c r="F326">
        <f>COUNTIFS($D$2:D326,D326)</f>
        <v>9</v>
      </c>
      <c r="G326" t="str">
        <f t="shared" si="5"/>
        <v>3871C</v>
      </c>
      <c r="H326">
        <v>5.4627143</v>
      </c>
      <c r="I326">
        <v>52.171597499999997</v>
      </c>
      <c r="J326" t="s">
        <v>403</v>
      </c>
      <c r="K326" t="s">
        <v>360</v>
      </c>
      <c r="L326" t="s">
        <v>52</v>
      </c>
      <c r="M326" t="s">
        <v>6</v>
      </c>
    </row>
    <row r="327" spans="1:13" x14ac:dyDescent="0.25">
      <c r="A327" s="3" t="s">
        <v>51</v>
      </c>
      <c r="B327" s="4">
        <v>19</v>
      </c>
      <c r="C327" s="4"/>
      <c r="D327" s="4" t="s">
        <v>52</v>
      </c>
      <c r="E327" s="4" t="s">
        <v>6</v>
      </c>
      <c r="F327">
        <f>COUNTIFS($D$2:D327,D327)</f>
        <v>10</v>
      </c>
      <c r="G327" t="str">
        <f t="shared" si="5"/>
        <v>3871C</v>
      </c>
      <c r="H327">
        <v>5.4628632000000001</v>
      </c>
      <c r="I327">
        <v>52.171858299999997</v>
      </c>
      <c r="J327" t="s">
        <v>403</v>
      </c>
      <c r="K327" t="s">
        <v>361</v>
      </c>
      <c r="L327" t="s">
        <v>52</v>
      </c>
      <c r="M327" t="s">
        <v>6</v>
      </c>
    </row>
    <row r="328" spans="1:13" x14ac:dyDescent="0.25">
      <c r="A328" s="3" t="s">
        <v>51</v>
      </c>
      <c r="B328" s="4">
        <v>21</v>
      </c>
      <c r="C328" s="4"/>
      <c r="D328" s="4" t="s">
        <v>52</v>
      </c>
      <c r="E328" s="4" t="s">
        <v>6</v>
      </c>
      <c r="F328">
        <f>COUNTIFS($D$2:D328,D328)</f>
        <v>11</v>
      </c>
      <c r="G328" t="str">
        <f t="shared" si="5"/>
        <v>3871C</v>
      </c>
      <c r="H328">
        <v>5.4627800000000004</v>
      </c>
      <c r="I328">
        <v>52.171857000000003</v>
      </c>
      <c r="J328" t="s">
        <v>403</v>
      </c>
      <c r="K328" t="s">
        <v>362</v>
      </c>
      <c r="L328" t="s">
        <v>52</v>
      </c>
      <c r="M328" t="s">
        <v>6</v>
      </c>
    </row>
    <row r="329" spans="1:13" x14ac:dyDescent="0.25">
      <c r="A329" s="3" t="s">
        <v>51</v>
      </c>
      <c r="B329" s="4">
        <v>23</v>
      </c>
      <c r="C329" s="4"/>
      <c r="D329" s="4" t="s">
        <v>52</v>
      </c>
      <c r="E329" s="4" t="s">
        <v>6</v>
      </c>
      <c r="F329">
        <f>COUNTIFS($D$2:D329,D329)</f>
        <v>12</v>
      </c>
      <c r="G329" t="str">
        <f t="shared" si="5"/>
        <v>3871C</v>
      </c>
      <c r="H329">
        <v>5.4626811999999996</v>
      </c>
      <c r="I329">
        <v>52.171853200000001</v>
      </c>
      <c r="J329" t="s">
        <v>403</v>
      </c>
      <c r="K329" t="s">
        <v>384</v>
      </c>
      <c r="L329" t="s">
        <v>52</v>
      </c>
      <c r="M329" t="s">
        <v>6</v>
      </c>
    </row>
    <row r="330" spans="1:13" x14ac:dyDescent="0.25">
      <c r="A330" s="3" t="s">
        <v>53</v>
      </c>
      <c r="B330" s="4">
        <v>2</v>
      </c>
      <c r="C330" s="4"/>
      <c r="D330" s="4" t="s">
        <v>52</v>
      </c>
      <c r="E330" s="4" t="s">
        <v>6</v>
      </c>
      <c r="F330">
        <f>COUNTIFS($D$2:D330,D330)</f>
        <v>13</v>
      </c>
      <c r="G330" t="str">
        <f t="shared" si="5"/>
        <v>3871C</v>
      </c>
      <c r="H330">
        <v>5.4619301</v>
      </c>
      <c r="I330">
        <v>52.1712998</v>
      </c>
      <c r="J330" t="s">
        <v>404</v>
      </c>
      <c r="K330" t="s">
        <v>370</v>
      </c>
      <c r="L330" t="s">
        <v>52</v>
      </c>
      <c r="M330" t="s">
        <v>6</v>
      </c>
    </row>
    <row r="331" spans="1:13" x14ac:dyDescent="0.25">
      <c r="A331" s="3" t="s">
        <v>53</v>
      </c>
      <c r="B331" s="4">
        <v>6</v>
      </c>
      <c r="C331" s="4"/>
      <c r="D331" s="4" t="s">
        <v>52</v>
      </c>
      <c r="E331" s="4" t="s">
        <v>6</v>
      </c>
      <c r="F331">
        <f>COUNTIFS($D$2:D331,D331)</f>
        <v>14</v>
      </c>
      <c r="G331" t="str">
        <f t="shared" si="5"/>
        <v>3871C</v>
      </c>
      <c r="H331">
        <v>5.4621054999999998</v>
      </c>
      <c r="I331">
        <v>52.171308699999997</v>
      </c>
      <c r="J331" t="s">
        <v>404</v>
      </c>
      <c r="K331" t="s">
        <v>262</v>
      </c>
      <c r="L331" t="s">
        <v>52</v>
      </c>
      <c r="M331" t="s">
        <v>6</v>
      </c>
    </row>
    <row r="332" spans="1:13" x14ac:dyDescent="0.25">
      <c r="A332" s="3" t="s">
        <v>53</v>
      </c>
      <c r="B332" s="4">
        <v>8</v>
      </c>
      <c r="C332" s="4"/>
      <c r="D332" s="4" t="s">
        <v>52</v>
      </c>
      <c r="E332" s="4" t="s">
        <v>6</v>
      </c>
      <c r="F332">
        <f>COUNTIFS($D$2:D332,D332)</f>
        <v>15</v>
      </c>
      <c r="G332" t="str">
        <f t="shared" si="5"/>
        <v>3871C</v>
      </c>
      <c r="H332">
        <v>5.4621931999999997</v>
      </c>
      <c r="I332">
        <v>52.171317600000002</v>
      </c>
      <c r="J332" t="s">
        <v>404</v>
      </c>
      <c r="K332" t="s">
        <v>263</v>
      </c>
      <c r="L332" t="s">
        <v>52</v>
      </c>
      <c r="M332" t="s">
        <v>6</v>
      </c>
    </row>
    <row r="333" spans="1:13" x14ac:dyDescent="0.25">
      <c r="A333" s="3" t="s">
        <v>53</v>
      </c>
      <c r="B333" s="4">
        <v>10</v>
      </c>
      <c r="C333" s="4"/>
      <c r="D333" s="4" t="s">
        <v>52</v>
      </c>
      <c r="E333" s="4" t="s">
        <v>6</v>
      </c>
      <c r="F333">
        <f>COUNTIFS($D$2:D333,D333)</f>
        <v>16</v>
      </c>
      <c r="G333" t="str">
        <f t="shared" si="5"/>
        <v>3871C</v>
      </c>
      <c r="H333">
        <v>5.4622662999999996</v>
      </c>
      <c r="I333">
        <v>52.171317600000002</v>
      </c>
      <c r="J333" t="s">
        <v>404</v>
      </c>
      <c r="K333" t="s">
        <v>264</v>
      </c>
      <c r="L333" t="s">
        <v>52</v>
      </c>
      <c r="M333" t="s">
        <v>6</v>
      </c>
    </row>
    <row r="334" spans="1:13" x14ac:dyDescent="0.25">
      <c r="A334" s="3" t="s">
        <v>53</v>
      </c>
      <c r="B334" s="4">
        <v>14</v>
      </c>
      <c r="C334" s="4"/>
      <c r="D334" s="4" t="s">
        <v>52</v>
      </c>
      <c r="E334" s="4" t="s">
        <v>6</v>
      </c>
      <c r="F334">
        <f>COUNTIFS($D$2:D334,D334)</f>
        <v>17</v>
      </c>
      <c r="G334" t="str">
        <f t="shared" si="5"/>
        <v>3871C</v>
      </c>
      <c r="H334">
        <v>5.4626609999999998</v>
      </c>
      <c r="I334">
        <v>52.171335300000003</v>
      </c>
      <c r="J334" t="s">
        <v>404</v>
      </c>
      <c r="K334" t="s">
        <v>266</v>
      </c>
      <c r="L334" t="s">
        <v>52</v>
      </c>
      <c r="M334" t="s">
        <v>6</v>
      </c>
    </row>
    <row r="335" spans="1:13" x14ac:dyDescent="0.25">
      <c r="A335" s="3" t="s">
        <v>53</v>
      </c>
      <c r="B335" s="4">
        <v>16</v>
      </c>
      <c r="C335" s="4"/>
      <c r="D335" s="4" t="s">
        <v>52</v>
      </c>
      <c r="E335" s="4" t="s">
        <v>6</v>
      </c>
      <c r="F335">
        <f>COUNTIFS($D$2:D335,D335)</f>
        <v>18</v>
      </c>
      <c r="G335" t="str">
        <f t="shared" si="5"/>
        <v>3871C</v>
      </c>
      <c r="H335">
        <v>5.4627488</v>
      </c>
      <c r="I335">
        <v>52.171335200000001</v>
      </c>
      <c r="J335" t="s">
        <v>404</v>
      </c>
      <c r="K335" t="s">
        <v>371</v>
      </c>
      <c r="L335" t="s">
        <v>52</v>
      </c>
      <c r="M335" t="s">
        <v>6</v>
      </c>
    </row>
    <row r="336" spans="1:13" x14ac:dyDescent="0.25">
      <c r="A336" s="3" t="s">
        <v>53</v>
      </c>
      <c r="B336" s="4">
        <v>18</v>
      </c>
      <c r="C336" s="4"/>
      <c r="D336" s="4" t="s">
        <v>52</v>
      </c>
      <c r="E336" s="4" t="s">
        <v>6</v>
      </c>
      <c r="F336">
        <f>COUNTIFS($D$2:D336,D336)</f>
        <v>19</v>
      </c>
      <c r="G336" t="str">
        <f t="shared" si="5"/>
        <v>3871C</v>
      </c>
      <c r="H336">
        <v>5.4628511</v>
      </c>
      <c r="I336">
        <v>52.171335200000001</v>
      </c>
      <c r="J336" t="s">
        <v>404</v>
      </c>
      <c r="K336" t="s">
        <v>267</v>
      </c>
      <c r="L336" t="s">
        <v>52</v>
      </c>
      <c r="M336" t="s">
        <v>6</v>
      </c>
    </row>
    <row r="337" spans="1:13" x14ac:dyDescent="0.25">
      <c r="A337" s="3" t="s">
        <v>53</v>
      </c>
      <c r="B337" s="4">
        <v>20</v>
      </c>
      <c r="C337" s="4"/>
      <c r="D337" s="4" t="s">
        <v>52</v>
      </c>
      <c r="E337" s="4" t="s">
        <v>6</v>
      </c>
      <c r="F337">
        <f>COUNTIFS($D$2:D337,D337)</f>
        <v>20</v>
      </c>
      <c r="G337" t="str">
        <f t="shared" si="5"/>
        <v>3871C</v>
      </c>
      <c r="H337">
        <v>5.4629241999999998</v>
      </c>
      <c r="I337">
        <v>52.171344099999999</v>
      </c>
      <c r="J337" t="s">
        <v>404</v>
      </c>
      <c r="K337" t="s">
        <v>372</v>
      </c>
      <c r="L337" t="s">
        <v>52</v>
      </c>
      <c r="M337" t="s">
        <v>6</v>
      </c>
    </row>
    <row r="338" spans="1:13" x14ac:dyDescent="0.25">
      <c r="A338" s="3" t="s">
        <v>53</v>
      </c>
      <c r="B338" s="4">
        <v>22</v>
      </c>
      <c r="C338" s="4"/>
      <c r="D338" s="4" t="s">
        <v>52</v>
      </c>
      <c r="E338" s="4" t="s">
        <v>6</v>
      </c>
      <c r="F338">
        <f>COUNTIFS($D$2:D338,D338)</f>
        <v>21</v>
      </c>
      <c r="G338" t="str">
        <f t="shared" si="5"/>
        <v>3871C</v>
      </c>
      <c r="H338">
        <v>5.4630232999999997</v>
      </c>
      <c r="I338">
        <v>52.171346399999997</v>
      </c>
      <c r="J338" t="s">
        <v>404</v>
      </c>
      <c r="K338" t="s">
        <v>269</v>
      </c>
      <c r="L338" t="s">
        <v>52</v>
      </c>
      <c r="M338" t="s">
        <v>6</v>
      </c>
    </row>
    <row r="339" spans="1:13" x14ac:dyDescent="0.25">
      <c r="A339" s="3" t="s">
        <v>53</v>
      </c>
      <c r="B339" s="4">
        <v>24</v>
      </c>
      <c r="C339" s="4"/>
      <c r="D339" s="4" t="s">
        <v>52</v>
      </c>
      <c r="E339" s="4" t="s">
        <v>6</v>
      </c>
      <c r="F339">
        <f>COUNTIFS($D$2:D339,D339)</f>
        <v>22</v>
      </c>
      <c r="G339" t="str">
        <f t="shared" si="5"/>
        <v>3871C</v>
      </c>
      <c r="H339">
        <v>5.4633482000000004</v>
      </c>
      <c r="I339">
        <v>52.171388800000003</v>
      </c>
      <c r="J339" t="s">
        <v>404</v>
      </c>
      <c r="K339" t="s">
        <v>270</v>
      </c>
      <c r="L339" t="s">
        <v>52</v>
      </c>
      <c r="M339" t="s">
        <v>6</v>
      </c>
    </row>
    <row r="340" spans="1:13" x14ac:dyDescent="0.25">
      <c r="A340" s="3" t="s">
        <v>53</v>
      </c>
      <c r="B340" s="4">
        <v>26</v>
      </c>
      <c r="C340" s="4"/>
      <c r="D340" s="4" t="s">
        <v>52</v>
      </c>
      <c r="E340" s="4" t="s">
        <v>6</v>
      </c>
      <c r="F340">
        <f>COUNTIFS($D$2:D340,D340)</f>
        <v>23</v>
      </c>
      <c r="G340" t="str">
        <f t="shared" si="5"/>
        <v>3871C</v>
      </c>
      <c r="H340">
        <v>5.4633336999999997</v>
      </c>
      <c r="I340">
        <v>52.1714427</v>
      </c>
      <c r="J340" t="s">
        <v>404</v>
      </c>
      <c r="K340" t="s">
        <v>271</v>
      </c>
      <c r="L340" t="s">
        <v>52</v>
      </c>
      <c r="M340" t="s">
        <v>6</v>
      </c>
    </row>
    <row r="341" spans="1:13" x14ac:dyDescent="0.25">
      <c r="A341" s="3" t="s">
        <v>53</v>
      </c>
      <c r="B341" s="4">
        <v>28</v>
      </c>
      <c r="C341" s="4"/>
      <c r="D341" s="4" t="s">
        <v>52</v>
      </c>
      <c r="E341" s="4" t="s">
        <v>6</v>
      </c>
      <c r="F341">
        <f>COUNTIFS($D$2:D341,D341)</f>
        <v>24</v>
      </c>
      <c r="G341" t="str">
        <f t="shared" si="5"/>
        <v>3871C</v>
      </c>
      <c r="H341">
        <v>5.4633336999999997</v>
      </c>
      <c r="I341">
        <v>52.171496699999999</v>
      </c>
      <c r="J341" t="s">
        <v>404</v>
      </c>
      <c r="K341" t="s">
        <v>272</v>
      </c>
      <c r="L341" t="s">
        <v>52</v>
      </c>
      <c r="M341" t="s">
        <v>6</v>
      </c>
    </row>
    <row r="342" spans="1:13" x14ac:dyDescent="0.25">
      <c r="A342" s="3" t="s">
        <v>53</v>
      </c>
      <c r="B342" s="4">
        <v>30</v>
      </c>
      <c r="C342" s="4"/>
      <c r="D342" s="4" t="s">
        <v>52</v>
      </c>
      <c r="E342" s="4" t="s">
        <v>6</v>
      </c>
      <c r="F342">
        <f>COUNTIFS($D$2:D342,D342)</f>
        <v>25</v>
      </c>
      <c r="G342" t="str">
        <f t="shared" si="5"/>
        <v>3871C</v>
      </c>
      <c r="H342">
        <v>5.4633191999999999</v>
      </c>
      <c r="I342">
        <v>52.171550600000003</v>
      </c>
      <c r="J342" t="s">
        <v>404</v>
      </c>
      <c r="K342" t="s">
        <v>373</v>
      </c>
      <c r="L342" t="s">
        <v>52</v>
      </c>
      <c r="M342" t="s">
        <v>6</v>
      </c>
    </row>
    <row r="343" spans="1:13" x14ac:dyDescent="0.25">
      <c r="A343" s="3" t="s">
        <v>53</v>
      </c>
      <c r="B343" s="4">
        <v>32</v>
      </c>
      <c r="C343" s="4"/>
      <c r="D343" s="4" t="s">
        <v>52</v>
      </c>
      <c r="E343" s="4" t="s">
        <v>6</v>
      </c>
      <c r="F343">
        <f>COUNTIFS($D$2:D343,D343)</f>
        <v>26</v>
      </c>
      <c r="G343" t="str">
        <f t="shared" si="5"/>
        <v>3871C</v>
      </c>
      <c r="H343">
        <v>5.4633193000000002</v>
      </c>
      <c r="I343">
        <v>52.171604500000001</v>
      </c>
      <c r="J343" t="s">
        <v>404</v>
      </c>
      <c r="K343" t="s">
        <v>273</v>
      </c>
      <c r="L343" t="s">
        <v>52</v>
      </c>
      <c r="M343" t="s">
        <v>6</v>
      </c>
    </row>
    <row r="344" spans="1:13" x14ac:dyDescent="0.25">
      <c r="A344" s="3" t="s">
        <v>53</v>
      </c>
      <c r="B344" s="4">
        <v>34</v>
      </c>
      <c r="C344" s="4"/>
      <c r="D344" s="4" t="s">
        <v>52</v>
      </c>
      <c r="E344" s="4" t="s">
        <v>6</v>
      </c>
      <c r="F344">
        <f>COUNTIFS($D$2:D344,D344)</f>
        <v>27</v>
      </c>
      <c r="G344" t="str">
        <f t="shared" si="5"/>
        <v>3871C</v>
      </c>
      <c r="H344">
        <v>5.4633048000000004</v>
      </c>
      <c r="I344">
        <v>52.171667399999997</v>
      </c>
      <c r="J344" t="s">
        <v>404</v>
      </c>
      <c r="K344" t="s">
        <v>274</v>
      </c>
      <c r="L344" t="s">
        <v>52</v>
      </c>
      <c r="M344" t="s">
        <v>6</v>
      </c>
    </row>
    <row r="345" spans="1:13" x14ac:dyDescent="0.25">
      <c r="A345" s="3" t="s">
        <v>53</v>
      </c>
      <c r="B345" s="4">
        <v>36</v>
      </c>
      <c r="C345" s="4"/>
      <c r="D345" s="4" t="s">
        <v>52</v>
      </c>
      <c r="E345" s="4" t="s">
        <v>6</v>
      </c>
      <c r="F345">
        <f>COUNTIFS($D$2:D345,D345)</f>
        <v>28</v>
      </c>
      <c r="G345" t="str">
        <f t="shared" si="5"/>
        <v>3871C</v>
      </c>
      <c r="H345">
        <v>5.4632905000000003</v>
      </c>
      <c r="I345">
        <v>52.171847200000002</v>
      </c>
      <c r="J345" t="s">
        <v>404</v>
      </c>
      <c r="K345" t="s">
        <v>275</v>
      </c>
      <c r="L345" t="s">
        <v>52</v>
      </c>
      <c r="M345" t="s">
        <v>6</v>
      </c>
    </row>
    <row r="346" spans="1:13" x14ac:dyDescent="0.25">
      <c r="A346" s="3" t="s">
        <v>53</v>
      </c>
      <c r="B346" s="4">
        <v>38</v>
      </c>
      <c r="C346" s="4"/>
      <c r="D346" s="4" t="s">
        <v>52</v>
      </c>
      <c r="E346" s="4" t="s">
        <v>6</v>
      </c>
      <c r="F346">
        <f>COUNTIFS($D$2:D346,D346)</f>
        <v>29</v>
      </c>
      <c r="G346" t="str">
        <f t="shared" si="5"/>
        <v>3871C</v>
      </c>
      <c r="H346">
        <v>5.4632905999999997</v>
      </c>
      <c r="I346">
        <v>52.171901099999999</v>
      </c>
      <c r="J346" t="s">
        <v>404</v>
      </c>
      <c r="K346" t="s">
        <v>374</v>
      </c>
      <c r="L346" t="s">
        <v>52</v>
      </c>
      <c r="M346" t="s">
        <v>6</v>
      </c>
    </row>
    <row r="347" spans="1:13" x14ac:dyDescent="0.25">
      <c r="A347" s="3" t="s">
        <v>53</v>
      </c>
      <c r="B347" s="4">
        <v>40</v>
      </c>
      <c r="C347" s="4"/>
      <c r="D347" s="4" t="s">
        <v>52</v>
      </c>
      <c r="E347" s="4" t="s">
        <v>6</v>
      </c>
      <c r="F347">
        <f>COUNTIFS($D$2:D347,D347)</f>
        <v>30</v>
      </c>
      <c r="G347" t="str">
        <f t="shared" si="5"/>
        <v>3871C</v>
      </c>
      <c r="H347">
        <v>5.4632906999999999</v>
      </c>
      <c r="I347">
        <v>52.171973000000001</v>
      </c>
      <c r="J347" t="s">
        <v>404</v>
      </c>
      <c r="K347" t="s">
        <v>276</v>
      </c>
      <c r="L347" t="s">
        <v>52</v>
      </c>
      <c r="M347" t="s">
        <v>6</v>
      </c>
    </row>
    <row r="348" spans="1:13" x14ac:dyDescent="0.25">
      <c r="A348" s="3" t="s">
        <v>53</v>
      </c>
      <c r="B348" s="4">
        <v>42</v>
      </c>
      <c r="C348" s="4"/>
      <c r="D348" s="4" t="s">
        <v>52</v>
      </c>
      <c r="E348" s="4" t="s">
        <v>6</v>
      </c>
      <c r="F348">
        <f>COUNTIFS($D$2:D348,D348)</f>
        <v>31</v>
      </c>
      <c r="G348" t="str">
        <f t="shared" si="5"/>
        <v>3871C</v>
      </c>
      <c r="H348">
        <v>5.4632762000000001</v>
      </c>
      <c r="I348">
        <v>52.172018000000001</v>
      </c>
      <c r="J348" t="s">
        <v>404</v>
      </c>
      <c r="K348" t="s">
        <v>376</v>
      </c>
      <c r="L348" t="s">
        <v>52</v>
      </c>
      <c r="M348" t="s">
        <v>6</v>
      </c>
    </row>
    <row r="349" spans="1:13" x14ac:dyDescent="0.25">
      <c r="A349" s="3" t="s">
        <v>53</v>
      </c>
      <c r="B349" s="4">
        <v>44</v>
      </c>
      <c r="C349" s="4"/>
      <c r="D349" s="4" t="s">
        <v>52</v>
      </c>
      <c r="E349" s="4" t="s">
        <v>6</v>
      </c>
      <c r="F349">
        <f>COUNTIFS($D$2:D349,D349)</f>
        <v>32</v>
      </c>
      <c r="G349" t="str">
        <f t="shared" si="5"/>
        <v>3871C</v>
      </c>
      <c r="H349">
        <v>5.4632616000000001</v>
      </c>
      <c r="I349">
        <v>52.172071899999999</v>
      </c>
      <c r="J349" t="s">
        <v>404</v>
      </c>
      <c r="K349" t="s">
        <v>377</v>
      </c>
      <c r="L349" t="s">
        <v>52</v>
      </c>
      <c r="M349" t="s">
        <v>6</v>
      </c>
    </row>
    <row r="350" spans="1:13" x14ac:dyDescent="0.25">
      <c r="A350" s="3" t="s">
        <v>53</v>
      </c>
      <c r="B350" s="4">
        <v>46</v>
      </c>
      <c r="C350" s="4"/>
      <c r="D350" s="4" t="s">
        <v>52</v>
      </c>
      <c r="E350" s="4" t="s">
        <v>6</v>
      </c>
      <c r="F350">
        <f>COUNTIFS($D$2:D350,D350)</f>
        <v>33</v>
      </c>
      <c r="G350" t="str">
        <f t="shared" si="5"/>
        <v>3871C</v>
      </c>
      <c r="H350">
        <v>5.4632617000000003</v>
      </c>
      <c r="I350">
        <v>52.172116899999999</v>
      </c>
      <c r="J350" t="s">
        <v>404</v>
      </c>
      <c r="K350" t="s">
        <v>277</v>
      </c>
      <c r="L350" t="s">
        <v>52</v>
      </c>
      <c r="M350" t="s">
        <v>6</v>
      </c>
    </row>
    <row r="351" spans="1:13" x14ac:dyDescent="0.25">
      <c r="A351" s="3" t="s">
        <v>54</v>
      </c>
      <c r="B351" s="4">
        <v>1</v>
      </c>
      <c r="C351" s="4"/>
      <c r="D351" s="4" t="s">
        <v>55</v>
      </c>
      <c r="E351" s="4" t="s">
        <v>6</v>
      </c>
      <c r="F351">
        <f>COUNTIFS($D$2:D351,D351)</f>
        <v>1</v>
      </c>
      <c r="G351" t="str">
        <f t="shared" si="5"/>
        <v>3871C</v>
      </c>
      <c r="H351">
        <v>5.4651173999999996</v>
      </c>
      <c r="I351">
        <v>52.172176499999999</v>
      </c>
      <c r="J351" t="s">
        <v>405</v>
      </c>
      <c r="K351" t="s">
        <v>355</v>
      </c>
      <c r="L351" t="s">
        <v>55</v>
      </c>
      <c r="M351" t="s">
        <v>6</v>
      </c>
    </row>
    <row r="352" spans="1:13" x14ac:dyDescent="0.25">
      <c r="A352" s="3" t="s">
        <v>54</v>
      </c>
      <c r="B352" s="4">
        <v>3</v>
      </c>
      <c r="C352" s="4"/>
      <c r="D352" s="4" t="s">
        <v>55</v>
      </c>
      <c r="E352" s="4" t="s">
        <v>6</v>
      </c>
      <c r="F352">
        <f>COUNTIFS($D$2:D352,D352)</f>
        <v>2</v>
      </c>
      <c r="G352" t="str">
        <f t="shared" si="5"/>
        <v>3871C</v>
      </c>
      <c r="H352">
        <v>5.4649830000000001</v>
      </c>
      <c r="I352">
        <v>52.172158600000003</v>
      </c>
      <c r="J352" t="s">
        <v>405</v>
      </c>
      <c r="K352" t="s">
        <v>356</v>
      </c>
      <c r="L352" t="s">
        <v>55</v>
      </c>
      <c r="M352" t="s">
        <v>6</v>
      </c>
    </row>
    <row r="353" spans="1:13" x14ac:dyDescent="0.25">
      <c r="A353" s="3" t="s">
        <v>54</v>
      </c>
      <c r="B353" s="4">
        <v>4</v>
      </c>
      <c r="C353" s="4"/>
      <c r="D353" s="4" t="s">
        <v>55</v>
      </c>
      <c r="E353" s="4" t="s">
        <v>6</v>
      </c>
      <c r="F353">
        <f>COUNTIFS($D$2:D353,D353)</f>
        <v>3</v>
      </c>
      <c r="G353" t="str">
        <f t="shared" si="5"/>
        <v>3871C</v>
      </c>
      <c r="H353">
        <v>5.4649726000000003</v>
      </c>
      <c r="I353">
        <v>52.172457299999998</v>
      </c>
      <c r="J353" t="s">
        <v>405</v>
      </c>
      <c r="K353" t="s">
        <v>260</v>
      </c>
      <c r="L353" t="s">
        <v>55</v>
      </c>
      <c r="M353" t="s">
        <v>6</v>
      </c>
    </row>
    <row r="354" spans="1:13" x14ac:dyDescent="0.25">
      <c r="A354" s="3" t="s">
        <v>54</v>
      </c>
      <c r="B354" s="4">
        <v>5</v>
      </c>
      <c r="C354" s="4"/>
      <c r="D354" s="4" t="s">
        <v>55</v>
      </c>
      <c r="E354" s="4" t="s">
        <v>6</v>
      </c>
      <c r="F354">
        <f>COUNTIFS($D$2:D354,D354)</f>
        <v>4</v>
      </c>
      <c r="G354" t="str">
        <f t="shared" si="5"/>
        <v>3871C</v>
      </c>
      <c r="H354">
        <v>5.4649014999999999</v>
      </c>
      <c r="I354">
        <v>52.172188599999998</v>
      </c>
      <c r="J354" t="s">
        <v>405</v>
      </c>
      <c r="K354" t="s">
        <v>357</v>
      </c>
      <c r="L354" t="s">
        <v>55</v>
      </c>
      <c r="M354" t="s">
        <v>6</v>
      </c>
    </row>
    <row r="355" spans="1:13" x14ac:dyDescent="0.25">
      <c r="A355" s="3" t="s">
        <v>54</v>
      </c>
      <c r="B355" s="4">
        <v>6</v>
      </c>
      <c r="C355" s="4"/>
      <c r="D355" s="4" t="s">
        <v>55</v>
      </c>
      <c r="E355" s="4" t="s">
        <v>6</v>
      </c>
      <c r="F355">
        <f>COUNTIFS($D$2:D355,D355)</f>
        <v>5</v>
      </c>
      <c r="G355" t="str">
        <f t="shared" si="5"/>
        <v>3871C</v>
      </c>
      <c r="H355">
        <v>5.4648703000000003</v>
      </c>
      <c r="I355">
        <v>52.172457399999999</v>
      </c>
      <c r="J355" t="s">
        <v>405</v>
      </c>
      <c r="K355" t="s">
        <v>262</v>
      </c>
      <c r="L355" t="s">
        <v>55</v>
      </c>
      <c r="M355" t="s">
        <v>6</v>
      </c>
    </row>
    <row r="356" spans="1:13" x14ac:dyDescent="0.25">
      <c r="A356" s="3" t="s">
        <v>54</v>
      </c>
      <c r="B356" s="4">
        <v>7</v>
      </c>
      <c r="C356" s="4"/>
      <c r="D356" s="4" t="s">
        <v>55</v>
      </c>
      <c r="E356" s="4" t="s">
        <v>6</v>
      </c>
      <c r="F356">
        <f>COUNTIFS($D$2:D356,D356)</f>
        <v>6</v>
      </c>
      <c r="G356" t="str">
        <f t="shared" si="5"/>
        <v>3871C</v>
      </c>
      <c r="H356">
        <v>5.4647929</v>
      </c>
      <c r="I356">
        <v>52.172206000000003</v>
      </c>
      <c r="J356" t="s">
        <v>405</v>
      </c>
      <c r="K356" t="s">
        <v>358</v>
      </c>
      <c r="L356" t="s">
        <v>55</v>
      </c>
      <c r="M356" t="s">
        <v>6</v>
      </c>
    </row>
    <row r="357" spans="1:13" x14ac:dyDescent="0.25">
      <c r="A357" s="3" t="s">
        <v>54</v>
      </c>
      <c r="B357" s="4">
        <v>8</v>
      </c>
      <c r="C357" s="4"/>
      <c r="D357" s="4" t="s">
        <v>55</v>
      </c>
      <c r="E357" s="4" t="s">
        <v>6</v>
      </c>
      <c r="F357">
        <f>COUNTIFS($D$2:D357,D357)</f>
        <v>7</v>
      </c>
      <c r="G357" t="str">
        <f t="shared" si="5"/>
        <v>3871C</v>
      </c>
      <c r="H357">
        <v>5.4647971999999996</v>
      </c>
      <c r="I357">
        <v>52.172457399999999</v>
      </c>
      <c r="J357" t="s">
        <v>405</v>
      </c>
      <c r="K357" t="s">
        <v>263</v>
      </c>
      <c r="L357" t="s">
        <v>55</v>
      </c>
      <c r="M357" t="s">
        <v>6</v>
      </c>
    </row>
    <row r="358" spans="1:13" x14ac:dyDescent="0.25">
      <c r="A358" s="3" t="s">
        <v>54</v>
      </c>
      <c r="B358" s="4">
        <v>9</v>
      </c>
      <c r="C358" s="4"/>
      <c r="D358" s="4" t="s">
        <v>55</v>
      </c>
      <c r="E358" s="4" t="s">
        <v>6</v>
      </c>
      <c r="F358">
        <f>COUNTIFS($D$2:D358,D358)</f>
        <v>8</v>
      </c>
      <c r="G358" t="str">
        <f t="shared" si="5"/>
        <v>3871C</v>
      </c>
      <c r="H358">
        <v>5.4640658000000002</v>
      </c>
      <c r="I358">
        <v>52.172161299999999</v>
      </c>
      <c r="J358" t="s">
        <v>405</v>
      </c>
      <c r="K358" t="s">
        <v>382</v>
      </c>
      <c r="L358" t="s">
        <v>55</v>
      </c>
      <c r="M358" t="s">
        <v>6</v>
      </c>
    </row>
    <row r="359" spans="1:13" x14ac:dyDescent="0.25">
      <c r="A359" s="3" t="s">
        <v>54</v>
      </c>
      <c r="B359" s="4">
        <v>10</v>
      </c>
      <c r="C359" s="4"/>
      <c r="D359" s="4" t="s">
        <v>55</v>
      </c>
      <c r="E359" s="4" t="s">
        <v>6</v>
      </c>
      <c r="F359">
        <f>COUNTIFS($D$2:D359,D359)</f>
        <v>9</v>
      </c>
      <c r="G359" t="str">
        <f t="shared" si="5"/>
        <v>3871C</v>
      </c>
      <c r="H359">
        <v>5.4640449999999996</v>
      </c>
      <c r="I359">
        <v>52.172433699999999</v>
      </c>
      <c r="J359" t="s">
        <v>405</v>
      </c>
      <c r="K359" t="s">
        <v>264</v>
      </c>
      <c r="L359" t="s">
        <v>55</v>
      </c>
      <c r="M359" t="s">
        <v>6</v>
      </c>
    </row>
    <row r="360" spans="1:13" x14ac:dyDescent="0.25">
      <c r="A360" s="3" t="s">
        <v>54</v>
      </c>
      <c r="B360" s="4">
        <v>11</v>
      </c>
      <c r="C360" s="4"/>
      <c r="D360" s="4" t="s">
        <v>55</v>
      </c>
      <c r="E360" s="4" t="s">
        <v>6</v>
      </c>
      <c r="F360">
        <f>COUNTIFS($D$2:D360,D360)</f>
        <v>10</v>
      </c>
      <c r="G360" t="str">
        <f t="shared" si="5"/>
        <v>3871C</v>
      </c>
      <c r="H360">
        <v>5.4639635000000002</v>
      </c>
      <c r="I360">
        <v>52.172161299999999</v>
      </c>
      <c r="J360" t="s">
        <v>405</v>
      </c>
      <c r="K360" t="s">
        <v>391</v>
      </c>
      <c r="L360" t="s">
        <v>55</v>
      </c>
      <c r="M360" t="s">
        <v>6</v>
      </c>
    </row>
    <row r="361" spans="1:13" x14ac:dyDescent="0.25">
      <c r="A361" s="3" t="s">
        <v>54</v>
      </c>
      <c r="B361" s="4">
        <v>13</v>
      </c>
      <c r="C361" s="4"/>
      <c r="D361" s="4" t="s">
        <v>55</v>
      </c>
      <c r="E361" s="4" t="s">
        <v>6</v>
      </c>
      <c r="F361">
        <f>COUNTIFS($D$2:D361,D361)</f>
        <v>11</v>
      </c>
      <c r="G361" t="str">
        <f t="shared" si="5"/>
        <v>3871C</v>
      </c>
      <c r="H361">
        <v>5.4638757</v>
      </c>
      <c r="I361">
        <v>52.172152400000002</v>
      </c>
      <c r="J361" t="s">
        <v>405</v>
      </c>
      <c r="K361" t="s">
        <v>359</v>
      </c>
      <c r="L361" t="s">
        <v>55</v>
      </c>
      <c r="M361" t="s">
        <v>6</v>
      </c>
    </row>
    <row r="362" spans="1:13" x14ac:dyDescent="0.25">
      <c r="A362" s="3" t="s">
        <v>54</v>
      </c>
      <c r="B362" s="4">
        <v>14</v>
      </c>
      <c r="C362" s="4"/>
      <c r="D362" s="4" t="s">
        <v>55</v>
      </c>
      <c r="E362" s="4" t="s">
        <v>6</v>
      </c>
      <c r="F362">
        <f>COUNTIFS($D$2:D362,D362)</f>
        <v>12</v>
      </c>
      <c r="G362" t="str">
        <f t="shared" si="5"/>
        <v>3871C</v>
      </c>
      <c r="H362">
        <v>5.4638448999999998</v>
      </c>
      <c r="I362">
        <v>52.172461599999998</v>
      </c>
      <c r="J362" t="s">
        <v>405</v>
      </c>
      <c r="K362" t="s">
        <v>266</v>
      </c>
      <c r="L362" t="s">
        <v>55</v>
      </c>
      <c r="M362" t="s">
        <v>6</v>
      </c>
    </row>
    <row r="363" spans="1:13" x14ac:dyDescent="0.25">
      <c r="A363" s="3" t="s">
        <v>54</v>
      </c>
      <c r="B363" s="4">
        <v>15</v>
      </c>
      <c r="C363" s="4"/>
      <c r="D363" s="4" t="s">
        <v>55</v>
      </c>
      <c r="E363" s="4" t="s">
        <v>6</v>
      </c>
      <c r="F363">
        <f>COUNTIFS($D$2:D363,D363)</f>
        <v>13</v>
      </c>
      <c r="G363" t="str">
        <f t="shared" si="5"/>
        <v>3871C</v>
      </c>
      <c r="H363">
        <v>5.4637880000000001</v>
      </c>
      <c r="I363">
        <v>52.172161500000001</v>
      </c>
      <c r="J363" t="s">
        <v>405</v>
      </c>
      <c r="K363" t="s">
        <v>383</v>
      </c>
      <c r="L363" t="s">
        <v>55</v>
      </c>
      <c r="M363" t="s">
        <v>6</v>
      </c>
    </row>
    <row r="364" spans="1:13" x14ac:dyDescent="0.25">
      <c r="A364" s="3" t="s">
        <v>54</v>
      </c>
      <c r="B364" s="4">
        <v>16</v>
      </c>
      <c r="C364" s="4"/>
      <c r="D364" s="4" t="s">
        <v>55</v>
      </c>
      <c r="E364" s="4" t="s">
        <v>6</v>
      </c>
      <c r="F364">
        <f>COUNTIFS($D$2:D364,D364)</f>
        <v>14</v>
      </c>
      <c r="G364" t="str">
        <f t="shared" si="5"/>
        <v>3871C</v>
      </c>
      <c r="H364">
        <v>5.4637438999999999</v>
      </c>
      <c r="I364">
        <v>52.172474100000002</v>
      </c>
      <c r="J364" t="s">
        <v>405</v>
      </c>
      <c r="K364" t="s">
        <v>371</v>
      </c>
      <c r="L364" t="s">
        <v>55</v>
      </c>
      <c r="M364" t="s">
        <v>6</v>
      </c>
    </row>
    <row r="365" spans="1:13" x14ac:dyDescent="0.25">
      <c r="A365" s="3" t="s">
        <v>54</v>
      </c>
      <c r="B365" s="4">
        <v>17</v>
      </c>
      <c r="C365" s="4"/>
      <c r="D365" s="4" t="s">
        <v>55</v>
      </c>
      <c r="E365" s="4" t="s">
        <v>6</v>
      </c>
      <c r="F365">
        <f>COUNTIFS($D$2:D365,D365)</f>
        <v>15</v>
      </c>
      <c r="G365" t="str">
        <f t="shared" si="5"/>
        <v>3871C</v>
      </c>
      <c r="H365">
        <v>5.4628378</v>
      </c>
      <c r="I365">
        <v>52.1721261</v>
      </c>
      <c r="J365" t="s">
        <v>405</v>
      </c>
      <c r="K365" t="s">
        <v>360</v>
      </c>
      <c r="L365" t="s">
        <v>55</v>
      </c>
      <c r="M365" t="s">
        <v>6</v>
      </c>
    </row>
    <row r="366" spans="1:13" x14ac:dyDescent="0.25">
      <c r="A366" s="3" t="s">
        <v>54</v>
      </c>
      <c r="B366" s="4">
        <v>19</v>
      </c>
      <c r="C366" s="4"/>
      <c r="D366" s="4" t="s">
        <v>55</v>
      </c>
      <c r="E366" s="4" t="s">
        <v>6</v>
      </c>
      <c r="F366">
        <f>COUNTIFS($D$2:D366,D366)</f>
        <v>16</v>
      </c>
      <c r="G366" t="str">
        <f t="shared" si="5"/>
        <v>3871C</v>
      </c>
      <c r="H366">
        <v>5.4627501000000001</v>
      </c>
      <c r="I366">
        <v>52.172117200000002</v>
      </c>
      <c r="J366" t="s">
        <v>405</v>
      </c>
      <c r="K366" t="s">
        <v>361</v>
      </c>
      <c r="L366" t="s">
        <v>55</v>
      </c>
      <c r="M366" t="s">
        <v>6</v>
      </c>
    </row>
    <row r="367" spans="1:13" x14ac:dyDescent="0.25">
      <c r="A367" s="3" t="s">
        <v>54</v>
      </c>
      <c r="B367" s="4">
        <v>21</v>
      </c>
      <c r="C367" s="4"/>
      <c r="D367" s="4" t="s">
        <v>55</v>
      </c>
      <c r="E367" s="4" t="s">
        <v>6</v>
      </c>
      <c r="F367">
        <f>COUNTIFS($D$2:D367,D367)</f>
        <v>17</v>
      </c>
      <c r="G367" t="str">
        <f t="shared" si="5"/>
        <v>3871C</v>
      </c>
      <c r="H367">
        <v>5.4626624000000001</v>
      </c>
      <c r="I367">
        <v>52.172117200000002</v>
      </c>
      <c r="J367" t="s">
        <v>405</v>
      </c>
      <c r="K367" t="s">
        <v>362</v>
      </c>
      <c r="L367" t="s">
        <v>55</v>
      </c>
      <c r="M367" t="s">
        <v>6</v>
      </c>
    </row>
    <row r="368" spans="1:13" x14ac:dyDescent="0.25">
      <c r="A368" s="3" t="s">
        <v>56</v>
      </c>
      <c r="B368" s="4">
        <v>3</v>
      </c>
      <c r="C368" s="4"/>
      <c r="D368" s="4" t="s">
        <v>57</v>
      </c>
      <c r="E368" s="4" t="s">
        <v>6</v>
      </c>
      <c r="F368">
        <f>COUNTIFS($D$2:D368,D368)</f>
        <v>1</v>
      </c>
      <c r="G368" t="str">
        <f t="shared" si="5"/>
        <v>3871C</v>
      </c>
      <c r="H368">
        <v>5.4650150000000002</v>
      </c>
      <c r="I368">
        <v>52.171621399999999</v>
      </c>
      <c r="J368" t="s">
        <v>406</v>
      </c>
      <c r="K368" t="s">
        <v>356</v>
      </c>
      <c r="L368" t="s">
        <v>57</v>
      </c>
      <c r="M368" t="s">
        <v>6</v>
      </c>
    </row>
    <row r="369" spans="1:13" x14ac:dyDescent="0.25">
      <c r="A369" s="3" t="s">
        <v>56</v>
      </c>
      <c r="B369" s="4">
        <v>5</v>
      </c>
      <c r="C369" s="4"/>
      <c r="D369" s="4" t="s">
        <v>57</v>
      </c>
      <c r="E369" s="4" t="s">
        <v>6</v>
      </c>
      <c r="F369">
        <f>COUNTIFS($D$2:D369,D369)</f>
        <v>2</v>
      </c>
      <c r="G369" t="str">
        <f t="shared" si="5"/>
        <v>3871C</v>
      </c>
      <c r="H369">
        <v>5.4650296000000003</v>
      </c>
      <c r="I369">
        <v>52.171567400000001</v>
      </c>
      <c r="J369" t="s">
        <v>406</v>
      </c>
      <c r="K369" t="s">
        <v>357</v>
      </c>
      <c r="L369" t="s">
        <v>57</v>
      </c>
      <c r="M369" t="s">
        <v>6</v>
      </c>
    </row>
    <row r="370" spans="1:13" x14ac:dyDescent="0.25">
      <c r="A370" s="3" t="s">
        <v>56</v>
      </c>
      <c r="B370" s="4">
        <v>7</v>
      </c>
      <c r="C370" s="4"/>
      <c r="D370" s="4" t="s">
        <v>57</v>
      </c>
      <c r="E370" s="4" t="s">
        <v>6</v>
      </c>
      <c r="F370">
        <f>COUNTIFS($D$2:D370,D370)</f>
        <v>3</v>
      </c>
      <c r="G370" t="str">
        <f t="shared" si="5"/>
        <v>3871C</v>
      </c>
      <c r="H370">
        <v>5.4650295</v>
      </c>
      <c r="I370">
        <v>52.171513500000003</v>
      </c>
      <c r="J370" t="s">
        <v>406</v>
      </c>
      <c r="K370" t="s">
        <v>358</v>
      </c>
      <c r="L370" t="s">
        <v>57</v>
      </c>
      <c r="M370" t="s">
        <v>6</v>
      </c>
    </row>
    <row r="371" spans="1:13" x14ac:dyDescent="0.25">
      <c r="A371" s="3" t="s">
        <v>56</v>
      </c>
      <c r="B371" s="4">
        <v>11</v>
      </c>
      <c r="C371" s="4"/>
      <c r="D371" s="4" t="s">
        <v>57</v>
      </c>
      <c r="E371" s="4" t="s">
        <v>6</v>
      </c>
      <c r="F371">
        <f>COUNTIFS($D$2:D371,D371)</f>
        <v>4</v>
      </c>
      <c r="G371" t="str">
        <f t="shared" si="5"/>
        <v>3871C</v>
      </c>
      <c r="H371">
        <v>5.4645326000000001</v>
      </c>
      <c r="I371">
        <v>52.171585700000001</v>
      </c>
      <c r="J371" t="s">
        <v>406</v>
      </c>
      <c r="K371" t="s">
        <v>391</v>
      </c>
      <c r="L371" t="s">
        <v>57</v>
      </c>
      <c r="M371" t="s">
        <v>6</v>
      </c>
    </row>
    <row r="372" spans="1:13" x14ac:dyDescent="0.25">
      <c r="A372" s="3" t="s">
        <v>56</v>
      </c>
      <c r="B372" s="4">
        <v>13</v>
      </c>
      <c r="C372" s="4"/>
      <c r="D372" s="4" t="s">
        <v>57</v>
      </c>
      <c r="E372" s="4" t="s">
        <v>6</v>
      </c>
      <c r="F372">
        <f>COUNTIFS($D$2:D372,D372)</f>
        <v>5</v>
      </c>
      <c r="G372" t="str">
        <f t="shared" si="5"/>
        <v>3871C</v>
      </c>
      <c r="H372">
        <v>5.4644447999999999</v>
      </c>
      <c r="I372">
        <v>52.171576799999997</v>
      </c>
      <c r="J372" t="s">
        <v>406</v>
      </c>
      <c r="K372" t="s">
        <v>359</v>
      </c>
      <c r="L372" t="s">
        <v>57</v>
      </c>
      <c r="M372" t="s">
        <v>6</v>
      </c>
    </row>
    <row r="373" spans="1:13" x14ac:dyDescent="0.25">
      <c r="A373" s="3" t="s">
        <v>56</v>
      </c>
      <c r="B373" s="4">
        <v>15</v>
      </c>
      <c r="C373" s="4"/>
      <c r="D373" s="4" t="s">
        <v>57</v>
      </c>
      <c r="E373" s="4" t="s">
        <v>6</v>
      </c>
      <c r="F373">
        <f>COUNTIFS($D$2:D373,D373)</f>
        <v>6</v>
      </c>
      <c r="G373" t="str">
        <f t="shared" si="5"/>
        <v>3871C</v>
      </c>
      <c r="H373">
        <v>5.4643278999999998</v>
      </c>
      <c r="I373">
        <v>52.171576899999998</v>
      </c>
      <c r="J373" t="s">
        <v>406</v>
      </c>
      <c r="K373" t="s">
        <v>383</v>
      </c>
      <c r="L373" t="s">
        <v>57</v>
      </c>
      <c r="M373" t="s">
        <v>6</v>
      </c>
    </row>
    <row r="374" spans="1:13" x14ac:dyDescent="0.25">
      <c r="A374" s="3" t="s">
        <v>56</v>
      </c>
      <c r="B374" s="4">
        <v>17</v>
      </c>
      <c r="C374" s="4"/>
      <c r="D374" s="4" t="s">
        <v>57</v>
      </c>
      <c r="E374" s="4" t="s">
        <v>6</v>
      </c>
      <c r="F374">
        <f>COUNTIFS($D$2:D374,D374)</f>
        <v>7</v>
      </c>
      <c r="G374" t="str">
        <f t="shared" si="5"/>
        <v>3871C</v>
      </c>
      <c r="H374">
        <v>5.4641086000000003</v>
      </c>
      <c r="I374">
        <v>52.171576999999999</v>
      </c>
      <c r="J374" t="s">
        <v>406</v>
      </c>
      <c r="K374" t="s">
        <v>360</v>
      </c>
      <c r="L374" t="s">
        <v>57</v>
      </c>
      <c r="M374" t="s">
        <v>6</v>
      </c>
    </row>
    <row r="375" spans="1:13" x14ac:dyDescent="0.25">
      <c r="A375" s="3" t="s">
        <v>56</v>
      </c>
      <c r="B375" s="4">
        <v>19</v>
      </c>
      <c r="C375" s="4"/>
      <c r="D375" s="4" t="s">
        <v>57</v>
      </c>
      <c r="E375" s="4" t="s">
        <v>6</v>
      </c>
      <c r="F375">
        <f>COUNTIFS($D$2:D375,D375)</f>
        <v>8</v>
      </c>
      <c r="G375" t="str">
        <f t="shared" si="5"/>
        <v>3871C</v>
      </c>
      <c r="H375">
        <v>5.4639917000000002</v>
      </c>
      <c r="I375">
        <v>52.171568100000002</v>
      </c>
      <c r="J375" t="s">
        <v>406</v>
      </c>
      <c r="K375" t="s">
        <v>361</v>
      </c>
      <c r="L375" t="s">
        <v>57</v>
      </c>
      <c r="M375" t="s">
        <v>6</v>
      </c>
    </row>
    <row r="376" spans="1:13" x14ac:dyDescent="0.25">
      <c r="A376" s="3" t="s">
        <v>56</v>
      </c>
      <c r="B376" s="4">
        <v>21</v>
      </c>
      <c r="C376" s="4"/>
      <c r="D376" s="4" t="s">
        <v>57</v>
      </c>
      <c r="E376" s="4" t="s">
        <v>6</v>
      </c>
      <c r="F376">
        <f>COUNTIFS($D$2:D376,D376)</f>
        <v>9</v>
      </c>
      <c r="G376" t="str">
        <f t="shared" si="5"/>
        <v>3871C</v>
      </c>
      <c r="H376">
        <v>5.4638894000000002</v>
      </c>
      <c r="I376">
        <v>52.171568200000003</v>
      </c>
      <c r="J376" t="s">
        <v>406</v>
      </c>
      <c r="K376" t="s">
        <v>362</v>
      </c>
      <c r="L376" t="s">
        <v>57</v>
      </c>
      <c r="M376" t="s">
        <v>6</v>
      </c>
    </row>
    <row r="377" spans="1:13" x14ac:dyDescent="0.25">
      <c r="A377" s="3" t="s">
        <v>56</v>
      </c>
      <c r="B377" s="4">
        <v>23</v>
      </c>
      <c r="C377" s="4"/>
      <c r="D377" s="4" t="s">
        <v>57</v>
      </c>
      <c r="E377" s="4" t="s">
        <v>6</v>
      </c>
      <c r="F377">
        <f>COUNTIFS($D$2:D377,D377)</f>
        <v>10</v>
      </c>
      <c r="G377" t="str">
        <f t="shared" si="5"/>
        <v>3871C</v>
      </c>
      <c r="H377">
        <v>5.4638016</v>
      </c>
      <c r="I377">
        <v>52.171568200000003</v>
      </c>
      <c r="J377" t="s">
        <v>406</v>
      </c>
      <c r="K377" t="s">
        <v>384</v>
      </c>
      <c r="L377" t="s">
        <v>57</v>
      </c>
      <c r="M377" t="s">
        <v>6</v>
      </c>
    </row>
    <row r="378" spans="1:13" x14ac:dyDescent="0.25">
      <c r="A378" s="3" t="s">
        <v>56</v>
      </c>
      <c r="B378" s="4">
        <v>25</v>
      </c>
      <c r="C378" s="4"/>
      <c r="D378" s="4" t="s">
        <v>57</v>
      </c>
      <c r="E378" s="4" t="s">
        <v>6</v>
      </c>
      <c r="F378">
        <f>COUNTIFS($D$2:D378,D378)</f>
        <v>11</v>
      </c>
      <c r="G378" t="str">
        <f t="shared" si="5"/>
        <v>3871C</v>
      </c>
      <c r="H378">
        <v>5.4637874999999996</v>
      </c>
      <c r="I378">
        <v>52.171864900000003</v>
      </c>
      <c r="J378" t="s">
        <v>406</v>
      </c>
      <c r="K378" t="s">
        <v>385</v>
      </c>
      <c r="L378" t="s">
        <v>57</v>
      </c>
      <c r="M378" t="s">
        <v>6</v>
      </c>
    </row>
    <row r="379" spans="1:13" x14ac:dyDescent="0.25">
      <c r="A379" s="3" t="s">
        <v>56</v>
      </c>
      <c r="B379" s="4">
        <v>27</v>
      </c>
      <c r="C379" s="4"/>
      <c r="D379" s="4" t="s">
        <v>57</v>
      </c>
      <c r="E379" s="4" t="s">
        <v>6</v>
      </c>
      <c r="F379">
        <f>COUNTIFS($D$2:D379,D379)</f>
        <v>12</v>
      </c>
      <c r="G379" t="str">
        <f t="shared" si="5"/>
        <v>3871C</v>
      </c>
      <c r="H379">
        <v>5.4638898999999999</v>
      </c>
      <c r="I379">
        <v>52.171864800000002</v>
      </c>
      <c r="J379" t="s">
        <v>406</v>
      </c>
      <c r="K379" t="s">
        <v>393</v>
      </c>
      <c r="L379" t="s">
        <v>57</v>
      </c>
      <c r="M379" t="s">
        <v>6</v>
      </c>
    </row>
    <row r="380" spans="1:13" x14ac:dyDescent="0.25">
      <c r="A380" s="3" t="s">
        <v>56</v>
      </c>
      <c r="B380" s="4">
        <v>29</v>
      </c>
      <c r="C380" s="4"/>
      <c r="D380" s="4" t="s">
        <v>57</v>
      </c>
      <c r="E380" s="4" t="s">
        <v>6</v>
      </c>
      <c r="F380">
        <f>COUNTIFS($D$2:D380,D380)</f>
        <v>13</v>
      </c>
      <c r="G380" t="str">
        <f t="shared" si="5"/>
        <v>3871C</v>
      </c>
      <c r="H380">
        <v>5.4639921999999999</v>
      </c>
      <c r="I380">
        <v>52.1718647</v>
      </c>
      <c r="J380" t="s">
        <v>406</v>
      </c>
      <c r="K380" t="s">
        <v>364</v>
      </c>
      <c r="L380" t="s">
        <v>57</v>
      </c>
      <c r="M380" t="s">
        <v>6</v>
      </c>
    </row>
    <row r="381" spans="1:13" x14ac:dyDescent="0.25">
      <c r="A381" s="3" t="s">
        <v>56</v>
      </c>
      <c r="B381" s="4">
        <v>31</v>
      </c>
      <c r="C381" s="4"/>
      <c r="D381" s="4" t="s">
        <v>57</v>
      </c>
      <c r="E381" s="4" t="s">
        <v>6</v>
      </c>
      <c r="F381">
        <f>COUNTIFS($D$2:D381,D381)</f>
        <v>14</v>
      </c>
      <c r="G381" t="str">
        <f t="shared" si="5"/>
        <v>3871C</v>
      </c>
      <c r="H381">
        <v>5.4640798999999998</v>
      </c>
      <c r="I381">
        <v>52.1718647</v>
      </c>
      <c r="J381" t="s">
        <v>406</v>
      </c>
      <c r="K381" t="s">
        <v>323</v>
      </c>
      <c r="L381" t="s">
        <v>57</v>
      </c>
      <c r="M381" t="s">
        <v>6</v>
      </c>
    </row>
    <row r="382" spans="1:13" x14ac:dyDescent="0.25">
      <c r="A382" s="3" t="s">
        <v>58</v>
      </c>
      <c r="B382" s="4">
        <v>2</v>
      </c>
      <c r="C382" s="4"/>
      <c r="D382" s="4" t="s">
        <v>57</v>
      </c>
      <c r="E382" s="4" t="s">
        <v>6</v>
      </c>
      <c r="F382">
        <f>COUNTIFS($D$2:D382,D382)</f>
        <v>15</v>
      </c>
      <c r="G382" t="str">
        <f t="shared" si="5"/>
        <v>3871C</v>
      </c>
      <c r="H382">
        <v>5.4651179000000001</v>
      </c>
      <c r="I382">
        <v>52.171908899999998</v>
      </c>
      <c r="J382" t="s">
        <v>407</v>
      </c>
      <c r="K382" t="s">
        <v>370</v>
      </c>
      <c r="L382" t="s">
        <v>57</v>
      </c>
      <c r="M382" t="s">
        <v>6</v>
      </c>
    </row>
    <row r="383" spans="1:13" x14ac:dyDescent="0.25">
      <c r="A383" s="3" t="s">
        <v>58</v>
      </c>
      <c r="B383" s="4">
        <v>4</v>
      </c>
      <c r="C383" s="4"/>
      <c r="D383" s="4" t="s">
        <v>57</v>
      </c>
      <c r="E383" s="4" t="s">
        <v>6</v>
      </c>
      <c r="F383">
        <f>COUNTIFS($D$2:D383,D383)</f>
        <v>16</v>
      </c>
      <c r="G383" t="str">
        <f t="shared" si="5"/>
        <v>3871C</v>
      </c>
      <c r="H383">
        <v>5.4650300999999999</v>
      </c>
      <c r="I383">
        <v>52.171908999999999</v>
      </c>
      <c r="J383" t="s">
        <v>407</v>
      </c>
      <c r="K383" t="s">
        <v>260</v>
      </c>
      <c r="L383" t="s">
        <v>57</v>
      </c>
      <c r="M383" t="s">
        <v>6</v>
      </c>
    </row>
    <row r="384" spans="1:13" x14ac:dyDescent="0.25">
      <c r="A384" s="3" t="s">
        <v>58</v>
      </c>
      <c r="B384" s="4">
        <v>6</v>
      </c>
      <c r="C384" s="4"/>
      <c r="D384" s="4" t="s">
        <v>57</v>
      </c>
      <c r="E384" s="4" t="s">
        <v>6</v>
      </c>
      <c r="F384">
        <f>COUNTIFS($D$2:D384,D384)</f>
        <v>17</v>
      </c>
      <c r="G384" t="str">
        <f t="shared" si="5"/>
        <v>3871C</v>
      </c>
      <c r="H384">
        <v>5.4649277999999999</v>
      </c>
      <c r="I384">
        <v>52.171909100000001</v>
      </c>
      <c r="J384" t="s">
        <v>407</v>
      </c>
      <c r="K384" t="s">
        <v>262</v>
      </c>
      <c r="L384" t="s">
        <v>57</v>
      </c>
      <c r="M384" t="s">
        <v>6</v>
      </c>
    </row>
    <row r="385" spans="1:13" x14ac:dyDescent="0.25">
      <c r="A385" s="3" t="s">
        <v>58</v>
      </c>
      <c r="B385" s="4">
        <v>8</v>
      </c>
      <c r="C385" s="4"/>
      <c r="D385" s="4" t="s">
        <v>57</v>
      </c>
      <c r="E385" s="4" t="s">
        <v>6</v>
      </c>
      <c r="F385">
        <f>COUNTIFS($D$2:D385,D385)</f>
        <v>18</v>
      </c>
      <c r="G385" t="str">
        <f t="shared" si="5"/>
        <v>3871C</v>
      </c>
      <c r="H385">
        <v>5.4648547000000001</v>
      </c>
      <c r="I385">
        <v>52.171909100000001</v>
      </c>
      <c r="J385" t="s">
        <v>407</v>
      </c>
      <c r="K385" t="s">
        <v>263</v>
      </c>
      <c r="L385" t="s">
        <v>57</v>
      </c>
      <c r="M385" t="s">
        <v>6</v>
      </c>
    </row>
    <row r="386" spans="1:13" x14ac:dyDescent="0.25">
      <c r="A386" s="3" t="s">
        <v>58</v>
      </c>
      <c r="B386" s="4">
        <v>10</v>
      </c>
      <c r="C386" s="4"/>
      <c r="D386" s="4" t="s">
        <v>57</v>
      </c>
      <c r="E386" s="4" t="s">
        <v>6</v>
      </c>
      <c r="F386">
        <f>COUNTIFS($D$2:D386,D386)</f>
        <v>19</v>
      </c>
      <c r="G386" t="str">
        <f t="shared" ref="G386:G449" si="6">LEFT(A386,5)</f>
        <v>3871C</v>
      </c>
      <c r="H386">
        <v>5.4644893000000003</v>
      </c>
      <c r="I386">
        <v>52.171900399999998</v>
      </c>
      <c r="J386" t="s">
        <v>407</v>
      </c>
      <c r="K386" t="s">
        <v>264</v>
      </c>
      <c r="L386" t="s">
        <v>57</v>
      </c>
      <c r="M386" t="s">
        <v>6</v>
      </c>
    </row>
    <row r="387" spans="1:13" x14ac:dyDescent="0.25">
      <c r="A387" s="3" t="s">
        <v>58</v>
      </c>
      <c r="B387" s="4">
        <v>12</v>
      </c>
      <c r="C387" s="4"/>
      <c r="D387" s="4" t="s">
        <v>57</v>
      </c>
      <c r="E387" s="4" t="s">
        <v>6</v>
      </c>
      <c r="F387">
        <f>COUNTIFS($D$2:D387,D387)</f>
        <v>20</v>
      </c>
      <c r="G387" t="str">
        <f t="shared" si="6"/>
        <v>3871C</v>
      </c>
      <c r="H387">
        <v>5.4645039000000004</v>
      </c>
      <c r="I387">
        <v>52.171936299999999</v>
      </c>
      <c r="J387" t="s">
        <v>407</v>
      </c>
      <c r="K387" t="s">
        <v>265</v>
      </c>
      <c r="L387" t="s">
        <v>57</v>
      </c>
      <c r="M387" t="s">
        <v>6</v>
      </c>
    </row>
    <row r="388" spans="1:13" x14ac:dyDescent="0.25">
      <c r="A388" s="3" t="s">
        <v>58</v>
      </c>
      <c r="B388" s="4">
        <v>14</v>
      </c>
      <c r="C388" s="4"/>
      <c r="D388" s="4" t="s">
        <v>57</v>
      </c>
      <c r="E388" s="4" t="s">
        <v>6</v>
      </c>
      <c r="F388">
        <f>COUNTIFS($D$2:D388,D388)</f>
        <v>21</v>
      </c>
      <c r="G388" t="str">
        <f t="shared" si="6"/>
        <v>3871C</v>
      </c>
      <c r="H388">
        <v>5.4644893999999997</v>
      </c>
      <c r="I388">
        <v>52.171999200000002</v>
      </c>
      <c r="J388" t="s">
        <v>407</v>
      </c>
      <c r="K388" t="s">
        <v>266</v>
      </c>
      <c r="L388" t="s">
        <v>57</v>
      </c>
      <c r="M388" t="s">
        <v>6</v>
      </c>
    </row>
    <row r="389" spans="1:13" x14ac:dyDescent="0.25">
      <c r="A389" s="3" t="s">
        <v>58</v>
      </c>
      <c r="B389" s="4">
        <v>16</v>
      </c>
      <c r="C389" s="4"/>
      <c r="D389" s="4" t="s">
        <v>57</v>
      </c>
      <c r="E389" s="4" t="s">
        <v>6</v>
      </c>
      <c r="F389">
        <f>COUNTIFS($D$2:D389,D389)</f>
        <v>22</v>
      </c>
      <c r="G389" t="str">
        <f t="shared" si="6"/>
        <v>3871C</v>
      </c>
      <c r="H389">
        <v>5.4644895</v>
      </c>
      <c r="I389">
        <v>52.172062099999998</v>
      </c>
      <c r="J389" t="s">
        <v>407</v>
      </c>
      <c r="K389" t="s">
        <v>371</v>
      </c>
      <c r="L389" t="s">
        <v>57</v>
      </c>
      <c r="M389" t="s">
        <v>6</v>
      </c>
    </row>
    <row r="390" spans="1:13" x14ac:dyDescent="0.25">
      <c r="A390" s="3" t="s">
        <v>58</v>
      </c>
      <c r="B390" s="4">
        <v>18</v>
      </c>
      <c r="C390" s="4"/>
      <c r="D390" s="4" t="s">
        <v>57</v>
      </c>
      <c r="E390" s="4" t="s">
        <v>6</v>
      </c>
      <c r="F390">
        <f>COUNTIFS($D$2:D390,D390)</f>
        <v>23</v>
      </c>
      <c r="G390" t="str">
        <f t="shared" si="6"/>
        <v>3871C</v>
      </c>
      <c r="H390">
        <v>5.4644896000000003</v>
      </c>
      <c r="I390">
        <v>52.172116099999997</v>
      </c>
      <c r="J390" t="s">
        <v>407</v>
      </c>
      <c r="K390" t="s">
        <v>267</v>
      </c>
      <c r="L390" t="s">
        <v>57</v>
      </c>
      <c r="M390" t="s">
        <v>6</v>
      </c>
    </row>
    <row r="391" spans="1:13" x14ac:dyDescent="0.25">
      <c r="A391" s="3" t="s">
        <v>58</v>
      </c>
      <c r="B391" s="4">
        <v>20</v>
      </c>
      <c r="C391" s="4"/>
      <c r="D391" s="4" t="s">
        <v>57</v>
      </c>
      <c r="E391" s="4" t="s">
        <v>6</v>
      </c>
      <c r="F391">
        <f>COUNTIFS($D$2:D391,D391)</f>
        <v>24</v>
      </c>
      <c r="G391" t="str">
        <f t="shared" si="6"/>
        <v>3871C</v>
      </c>
      <c r="H391">
        <v>5.4644605000000004</v>
      </c>
      <c r="I391">
        <v>52.172170000000001</v>
      </c>
      <c r="J391" t="s">
        <v>407</v>
      </c>
      <c r="K391" t="s">
        <v>372</v>
      </c>
      <c r="L391" t="s">
        <v>57</v>
      </c>
      <c r="M391" t="s">
        <v>6</v>
      </c>
    </row>
    <row r="392" spans="1:13" x14ac:dyDescent="0.25">
      <c r="A392" s="3" t="s">
        <v>59</v>
      </c>
      <c r="B392" s="4">
        <v>1</v>
      </c>
      <c r="C392" s="4"/>
      <c r="D392" s="4" t="s">
        <v>60</v>
      </c>
      <c r="E392" s="4" t="s">
        <v>6</v>
      </c>
      <c r="F392">
        <f>COUNTIFS($D$2:D392,D392)</f>
        <v>1</v>
      </c>
      <c r="G392" t="str">
        <f t="shared" si="6"/>
        <v>3871C</v>
      </c>
      <c r="H392">
        <v>5.4684204000000003</v>
      </c>
      <c r="I392">
        <v>52.171286500000001</v>
      </c>
      <c r="J392" t="s">
        <v>408</v>
      </c>
      <c r="K392" t="s">
        <v>355</v>
      </c>
      <c r="L392" t="s">
        <v>60</v>
      </c>
      <c r="M392" t="s">
        <v>6</v>
      </c>
    </row>
    <row r="393" spans="1:13" x14ac:dyDescent="0.25">
      <c r="A393" s="3" t="s">
        <v>59</v>
      </c>
      <c r="B393" s="4">
        <v>2</v>
      </c>
      <c r="C393" s="4"/>
      <c r="D393" s="4" t="s">
        <v>60</v>
      </c>
      <c r="E393" s="4" t="s">
        <v>6</v>
      </c>
      <c r="F393">
        <f>COUNTIFS($D$2:D393,D393)</f>
        <v>2</v>
      </c>
      <c r="G393" t="str">
        <f t="shared" si="6"/>
        <v>3871C</v>
      </c>
      <c r="H393">
        <v>5.4680051000000001</v>
      </c>
      <c r="I393">
        <v>52.1716871</v>
      </c>
      <c r="J393" t="s">
        <v>408</v>
      </c>
      <c r="K393" t="s">
        <v>370</v>
      </c>
      <c r="L393" t="s">
        <v>60</v>
      </c>
      <c r="M393" t="s">
        <v>6</v>
      </c>
    </row>
    <row r="394" spans="1:13" x14ac:dyDescent="0.25">
      <c r="A394" s="3" t="s">
        <v>59</v>
      </c>
      <c r="B394" s="4">
        <v>3</v>
      </c>
      <c r="C394" s="4"/>
      <c r="D394" s="4" t="s">
        <v>60</v>
      </c>
      <c r="E394" s="4" t="s">
        <v>6</v>
      </c>
      <c r="F394">
        <f>COUNTIFS($D$2:D394,D394)</f>
        <v>3</v>
      </c>
      <c r="G394" t="str">
        <f t="shared" si="6"/>
        <v>3871C</v>
      </c>
      <c r="H394">
        <v>5.4683618999999997</v>
      </c>
      <c r="I394">
        <v>52.171286600000002</v>
      </c>
      <c r="J394" t="s">
        <v>408</v>
      </c>
      <c r="K394" t="s">
        <v>356</v>
      </c>
      <c r="L394" t="s">
        <v>60</v>
      </c>
      <c r="M394" t="s">
        <v>6</v>
      </c>
    </row>
    <row r="395" spans="1:13" x14ac:dyDescent="0.25">
      <c r="A395" s="3" t="s">
        <v>59</v>
      </c>
      <c r="B395" s="4">
        <v>5</v>
      </c>
      <c r="C395" s="4"/>
      <c r="D395" s="4" t="s">
        <v>60</v>
      </c>
      <c r="E395" s="4" t="s">
        <v>6</v>
      </c>
      <c r="F395">
        <f>COUNTIFS($D$2:D395,D395)</f>
        <v>4</v>
      </c>
      <c r="G395" t="str">
        <f t="shared" si="6"/>
        <v>3871C</v>
      </c>
      <c r="H395">
        <v>5.4682595999999997</v>
      </c>
      <c r="I395">
        <v>52.171286600000002</v>
      </c>
      <c r="J395" t="s">
        <v>408</v>
      </c>
      <c r="K395" t="s">
        <v>357</v>
      </c>
      <c r="L395" t="s">
        <v>60</v>
      </c>
      <c r="M395" t="s">
        <v>6</v>
      </c>
    </row>
    <row r="396" spans="1:13" x14ac:dyDescent="0.25">
      <c r="A396" s="3" t="s">
        <v>59</v>
      </c>
      <c r="B396" s="4">
        <v>6</v>
      </c>
      <c r="C396" s="4"/>
      <c r="D396" s="4" t="s">
        <v>60</v>
      </c>
      <c r="E396" s="4" t="s">
        <v>6</v>
      </c>
      <c r="F396">
        <f>COUNTIFS($D$2:D396,D396)</f>
        <v>5</v>
      </c>
      <c r="G396" t="str">
        <f t="shared" si="6"/>
        <v>3871C</v>
      </c>
      <c r="H396">
        <v>5.4678009000000003</v>
      </c>
      <c r="I396">
        <v>52.171672100000002</v>
      </c>
      <c r="J396" t="s">
        <v>408</v>
      </c>
      <c r="K396" t="s">
        <v>262</v>
      </c>
      <c r="L396" t="s">
        <v>60</v>
      </c>
      <c r="M396" t="s">
        <v>6</v>
      </c>
    </row>
    <row r="397" spans="1:13" x14ac:dyDescent="0.25">
      <c r="A397" s="3" t="s">
        <v>59</v>
      </c>
      <c r="B397" s="4">
        <v>7</v>
      </c>
      <c r="C397" s="4"/>
      <c r="D397" s="4" t="s">
        <v>60</v>
      </c>
      <c r="E397" s="4" t="s">
        <v>6</v>
      </c>
      <c r="F397">
        <f>COUNTIFS($D$2:D397,D397)</f>
        <v>6</v>
      </c>
      <c r="G397" t="str">
        <f t="shared" si="6"/>
        <v>3871C</v>
      </c>
      <c r="H397">
        <v>5.4681718999999998</v>
      </c>
      <c r="I397">
        <v>52.171277699999997</v>
      </c>
      <c r="J397" t="s">
        <v>408</v>
      </c>
      <c r="K397" t="s">
        <v>358</v>
      </c>
      <c r="L397" t="s">
        <v>60</v>
      </c>
      <c r="M397" t="s">
        <v>6</v>
      </c>
    </row>
    <row r="398" spans="1:13" x14ac:dyDescent="0.25">
      <c r="A398" s="3" t="s">
        <v>59</v>
      </c>
      <c r="B398" s="4">
        <v>8</v>
      </c>
      <c r="C398" s="4"/>
      <c r="D398" s="4" t="s">
        <v>60</v>
      </c>
      <c r="E398" s="4" t="s">
        <v>6</v>
      </c>
      <c r="F398">
        <f>COUNTIFS($D$2:D398,D398)</f>
        <v>7</v>
      </c>
      <c r="G398" t="str">
        <f t="shared" si="6"/>
        <v>3871C</v>
      </c>
      <c r="H398">
        <v>5.4677094999999998</v>
      </c>
      <c r="I398">
        <v>52.171662300000001</v>
      </c>
      <c r="J398" t="s">
        <v>408</v>
      </c>
      <c r="K398" t="s">
        <v>263</v>
      </c>
      <c r="L398" t="s">
        <v>60</v>
      </c>
      <c r="M398" t="s">
        <v>6</v>
      </c>
    </row>
    <row r="399" spans="1:13" x14ac:dyDescent="0.25">
      <c r="A399" s="3" t="s">
        <v>59</v>
      </c>
      <c r="B399" s="4">
        <v>9</v>
      </c>
      <c r="C399" s="4"/>
      <c r="D399" s="4" t="s">
        <v>60</v>
      </c>
      <c r="E399" s="4" t="s">
        <v>6</v>
      </c>
      <c r="F399">
        <f>COUNTIFS($D$2:D399,D399)</f>
        <v>8</v>
      </c>
      <c r="G399" t="str">
        <f t="shared" si="6"/>
        <v>3871C</v>
      </c>
      <c r="H399">
        <v>5.4680695999999998</v>
      </c>
      <c r="I399">
        <v>52.171277799999999</v>
      </c>
      <c r="J399" t="s">
        <v>408</v>
      </c>
      <c r="K399" t="s">
        <v>382</v>
      </c>
      <c r="L399" t="s">
        <v>60</v>
      </c>
      <c r="M399" t="s">
        <v>6</v>
      </c>
    </row>
    <row r="400" spans="1:13" x14ac:dyDescent="0.25">
      <c r="A400" s="3" t="s">
        <v>59</v>
      </c>
      <c r="B400" s="4">
        <v>10</v>
      </c>
      <c r="C400" s="4"/>
      <c r="D400" s="4" t="s">
        <v>60</v>
      </c>
      <c r="E400" s="4" t="s">
        <v>6</v>
      </c>
      <c r="F400">
        <f>COUNTIFS($D$2:D400,D400)</f>
        <v>9</v>
      </c>
      <c r="G400" t="str">
        <f t="shared" si="6"/>
        <v>3871C</v>
      </c>
      <c r="H400">
        <v>5.4676197000000002</v>
      </c>
      <c r="I400">
        <v>52.171650200000002</v>
      </c>
      <c r="J400" t="s">
        <v>408</v>
      </c>
      <c r="K400" t="s">
        <v>264</v>
      </c>
      <c r="L400" t="s">
        <v>60</v>
      </c>
      <c r="M400" t="s">
        <v>6</v>
      </c>
    </row>
    <row r="401" spans="1:13" x14ac:dyDescent="0.25">
      <c r="A401" s="3" t="s">
        <v>59</v>
      </c>
      <c r="B401" s="4">
        <v>11</v>
      </c>
      <c r="C401" s="4"/>
      <c r="D401" s="4" t="s">
        <v>60</v>
      </c>
      <c r="E401" s="4" t="s">
        <v>6</v>
      </c>
      <c r="F401">
        <f>COUNTIFS($D$2:D401,D401)</f>
        <v>10</v>
      </c>
      <c r="G401" t="str">
        <f t="shared" si="6"/>
        <v>3871C</v>
      </c>
      <c r="H401">
        <v>5.4679672000000004</v>
      </c>
      <c r="I401">
        <v>52.1712779</v>
      </c>
      <c r="J401" t="s">
        <v>408</v>
      </c>
      <c r="K401" t="s">
        <v>391</v>
      </c>
      <c r="L401" t="s">
        <v>60</v>
      </c>
      <c r="M401" t="s">
        <v>6</v>
      </c>
    </row>
    <row r="402" spans="1:13" x14ac:dyDescent="0.25">
      <c r="A402" s="3" t="s">
        <v>59</v>
      </c>
      <c r="B402" s="4">
        <v>12</v>
      </c>
      <c r="C402" s="4"/>
      <c r="D402" s="4" t="s">
        <v>60</v>
      </c>
      <c r="E402" s="4" t="s">
        <v>6</v>
      </c>
      <c r="F402">
        <f>COUNTIFS($D$2:D402,D402)</f>
        <v>11</v>
      </c>
      <c r="G402" t="str">
        <f t="shared" si="6"/>
        <v>3871C</v>
      </c>
      <c r="H402">
        <v>5.4675218000000001</v>
      </c>
      <c r="I402">
        <v>52.1716391</v>
      </c>
      <c r="J402" t="s">
        <v>408</v>
      </c>
      <c r="K402" t="s">
        <v>265</v>
      </c>
      <c r="L402" t="s">
        <v>60</v>
      </c>
      <c r="M402" t="s">
        <v>6</v>
      </c>
    </row>
    <row r="403" spans="1:13" x14ac:dyDescent="0.25">
      <c r="A403" s="3" t="s">
        <v>59</v>
      </c>
      <c r="B403" s="4">
        <v>13</v>
      </c>
      <c r="C403" s="4"/>
      <c r="D403" s="4" t="s">
        <v>60</v>
      </c>
      <c r="E403" s="4" t="s">
        <v>6</v>
      </c>
      <c r="F403">
        <f>COUNTIFS($D$2:D403,D403)</f>
        <v>12</v>
      </c>
      <c r="G403" t="str">
        <f t="shared" si="6"/>
        <v>3871C</v>
      </c>
      <c r="H403">
        <v>5.4678794999999996</v>
      </c>
      <c r="I403">
        <v>52.171268900000001</v>
      </c>
      <c r="J403" t="s">
        <v>408</v>
      </c>
      <c r="K403" t="s">
        <v>359</v>
      </c>
      <c r="L403" t="s">
        <v>60</v>
      </c>
      <c r="M403" t="s">
        <v>6</v>
      </c>
    </row>
    <row r="404" spans="1:13" x14ac:dyDescent="0.25">
      <c r="A404" s="3" t="s">
        <v>59</v>
      </c>
      <c r="B404" s="4">
        <v>14</v>
      </c>
      <c r="C404" s="4"/>
      <c r="D404" s="4" t="s">
        <v>60</v>
      </c>
      <c r="E404" s="4" t="s">
        <v>6</v>
      </c>
      <c r="F404">
        <f>COUNTIFS($D$2:D404,D404)</f>
        <v>13</v>
      </c>
      <c r="G404" t="str">
        <f t="shared" si="6"/>
        <v>3871C</v>
      </c>
      <c r="H404">
        <v>5.4674296</v>
      </c>
      <c r="I404">
        <v>52.171628800000001</v>
      </c>
      <c r="J404" t="s">
        <v>408</v>
      </c>
      <c r="K404" t="s">
        <v>266</v>
      </c>
      <c r="L404" t="s">
        <v>60</v>
      </c>
      <c r="M404" t="s">
        <v>6</v>
      </c>
    </row>
    <row r="405" spans="1:13" x14ac:dyDescent="0.25">
      <c r="A405" s="3" t="s">
        <v>59</v>
      </c>
      <c r="B405" s="4">
        <v>15</v>
      </c>
      <c r="C405" s="4"/>
      <c r="D405" s="4" t="s">
        <v>60</v>
      </c>
      <c r="E405" s="4" t="s">
        <v>6</v>
      </c>
      <c r="F405">
        <f>COUNTIFS($D$2:D405,D405)</f>
        <v>14</v>
      </c>
      <c r="G405" t="str">
        <f t="shared" si="6"/>
        <v>3871C</v>
      </c>
      <c r="H405">
        <v>5.4677917999999996</v>
      </c>
      <c r="I405">
        <v>52.171269000000002</v>
      </c>
      <c r="J405" t="s">
        <v>408</v>
      </c>
      <c r="K405" t="s">
        <v>383</v>
      </c>
      <c r="L405" t="s">
        <v>60</v>
      </c>
      <c r="M405" t="s">
        <v>6</v>
      </c>
    </row>
    <row r="406" spans="1:13" x14ac:dyDescent="0.25">
      <c r="A406" s="3" t="s">
        <v>59</v>
      </c>
      <c r="B406" s="4">
        <v>16</v>
      </c>
      <c r="C406" s="4"/>
      <c r="D406" s="4" t="s">
        <v>60</v>
      </c>
      <c r="E406" s="4" t="s">
        <v>6</v>
      </c>
      <c r="F406">
        <f>COUNTIFS($D$2:D406,D406)</f>
        <v>15</v>
      </c>
      <c r="G406" t="str">
        <f t="shared" si="6"/>
        <v>3871C</v>
      </c>
      <c r="H406">
        <v>5.4673407000000003</v>
      </c>
      <c r="I406">
        <v>52.171617900000001</v>
      </c>
      <c r="J406" t="s">
        <v>408</v>
      </c>
      <c r="K406" t="s">
        <v>371</v>
      </c>
      <c r="L406" t="s">
        <v>60</v>
      </c>
      <c r="M406" t="s">
        <v>6</v>
      </c>
    </row>
    <row r="407" spans="1:13" x14ac:dyDescent="0.25">
      <c r="A407" s="3" t="s">
        <v>59</v>
      </c>
      <c r="B407" s="4">
        <v>17</v>
      </c>
      <c r="C407" s="4"/>
      <c r="D407" s="4" t="s">
        <v>60</v>
      </c>
      <c r="E407" s="4" t="s">
        <v>6</v>
      </c>
      <c r="F407">
        <f>COUNTIFS($D$2:D407,D407)</f>
        <v>16</v>
      </c>
      <c r="G407" t="str">
        <f t="shared" si="6"/>
        <v>3871C</v>
      </c>
      <c r="H407">
        <v>5.4669293000000003</v>
      </c>
      <c r="I407">
        <v>52.171251599999998</v>
      </c>
      <c r="J407" t="s">
        <v>408</v>
      </c>
      <c r="K407" t="s">
        <v>360</v>
      </c>
      <c r="L407" t="s">
        <v>60</v>
      </c>
      <c r="M407" t="s">
        <v>6</v>
      </c>
    </row>
    <row r="408" spans="1:13" x14ac:dyDescent="0.25">
      <c r="A408" s="3" t="s">
        <v>59</v>
      </c>
      <c r="B408" s="4">
        <v>18</v>
      </c>
      <c r="C408" s="4"/>
      <c r="D408" s="4" t="s">
        <v>60</v>
      </c>
      <c r="E408" s="4" t="s">
        <v>6</v>
      </c>
      <c r="F408">
        <f>COUNTIFS($D$2:D408,D408)</f>
        <v>17</v>
      </c>
      <c r="G408" t="str">
        <f t="shared" si="6"/>
        <v>3871C</v>
      </c>
      <c r="H408">
        <v>5.4672434000000001</v>
      </c>
      <c r="I408">
        <v>52.1716075</v>
      </c>
      <c r="J408" t="s">
        <v>408</v>
      </c>
      <c r="K408" t="s">
        <v>267</v>
      </c>
      <c r="L408" t="s">
        <v>60</v>
      </c>
      <c r="M408" t="s">
        <v>6</v>
      </c>
    </row>
    <row r="409" spans="1:13" x14ac:dyDescent="0.25">
      <c r="A409" s="3" t="s">
        <v>59</v>
      </c>
      <c r="B409" s="4">
        <v>19</v>
      </c>
      <c r="C409" s="4"/>
      <c r="D409" s="4" t="s">
        <v>60</v>
      </c>
      <c r="E409" s="4" t="s">
        <v>6</v>
      </c>
      <c r="F409">
        <f>COUNTIFS($D$2:D409,D409)</f>
        <v>18</v>
      </c>
      <c r="G409" t="str">
        <f t="shared" si="6"/>
        <v>3871C</v>
      </c>
      <c r="H409">
        <v>5.4668270000000003</v>
      </c>
      <c r="I409">
        <v>52.171251699999999</v>
      </c>
      <c r="J409" t="s">
        <v>408</v>
      </c>
      <c r="K409" t="s">
        <v>361</v>
      </c>
      <c r="L409" t="s">
        <v>60</v>
      </c>
      <c r="M409" t="s">
        <v>6</v>
      </c>
    </row>
    <row r="410" spans="1:13" x14ac:dyDescent="0.25">
      <c r="A410" s="3" t="s">
        <v>59</v>
      </c>
      <c r="B410" s="4">
        <v>21</v>
      </c>
      <c r="C410" s="4"/>
      <c r="D410" s="4" t="s">
        <v>60</v>
      </c>
      <c r="E410" s="4" t="s">
        <v>6</v>
      </c>
      <c r="F410">
        <f>COUNTIFS($D$2:D410,D410)</f>
        <v>19</v>
      </c>
      <c r="G410" t="str">
        <f t="shared" si="6"/>
        <v>3871C</v>
      </c>
      <c r="H410">
        <v>5.4667538999999996</v>
      </c>
      <c r="I410">
        <v>52.171251699999999</v>
      </c>
      <c r="J410" t="s">
        <v>408</v>
      </c>
      <c r="K410" t="s">
        <v>362</v>
      </c>
      <c r="L410" t="s">
        <v>60</v>
      </c>
      <c r="M410" t="s">
        <v>6</v>
      </c>
    </row>
    <row r="411" spans="1:13" x14ac:dyDescent="0.25">
      <c r="A411" s="3" t="s">
        <v>59</v>
      </c>
      <c r="B411" s="4">
        <v>23</v>
      </c>
      <c r="C411" s="4"/>
      <c r="D411" s="4" t="s">
        <v>60</v>
      </c>
      <c r="E411" s="4" t="s">
        <v>6</v>
      </c>
      <c r="F411">
        <f>COUNTIFS($D$2:D411,D411)</f>
        <v>20</v>
      </c>
      <c r="G411" t="str">
        <f t="shared" si="6"/>
        <v>3871C</v>
      </c>
      <c r="H411">
        <v>5.4666515999999996</v>
      </c>
      <c r="I411">
        <v>52.1712518</v>
      </c>
      <c r="J411" t="s">
        <v>408</v>
      </c>
      <c r="K411" t="s">
        <v>384</v>
      </c>
      <c r="L411" t="s">
        <v>60</v>
      </c>
      <c r="M411" t="s">
        <v>6</v>
      </c>
    </row>
    <row r="412" spans="1:13" x14ac:dyDescent="0.25">
      <c r="A412" s="3" t="s">
        <v>59</v>
      </c>
      <c r="B412" s="4">
        <v>25</v>
      </c>
      <c r="C412" s="4"/>
      <c r="D412" s="4" t="s">
        <v>60</v>
      </c>
      <c r="E412" s="4" t="s">
        <v>6</v>
      </c>
      <c r="F412">
        <f>COUNTIFS($D$2:D412,D412)</f>
        <v>21</v>
      </c>
      <c r="G412" t="str">
        <f t="shared" si="6"/>
        <v>3871C</v>
      </c>
      <c r="H412">
        <v>5.4665638999999997</v>
      </c>
      <c r="I412">
        <v>52.171242900000003</v>
      </c>
      <c r="J412" t="s">
        <v>408</v>
      </c>
      <c r="K412" t="s">
        <v>385</v>
      </c>
      <c r="L412" t="s">
        <v>60</v>
      </c>
      <c r="M412" t="s">
        <v>6</v>
      </c>
    </row>
    <row r="413" spans="1:13" x14ac:dyDescent="0.25">
      <c r="A413" s="3" t="s">
        <v>59</v>
      </c>
      <c r="B413" s="4">
        <v>27</v>
      </c>
      <c r="C413" s="4"/>
      <c r="D413" s="4" t="s">
        <v>60</v>
      </c>
      <c r="E413" s="4" t="s">
        <v>6</v>
      </c>
      <c r="F413">
        <f>COUNTIFS($D$2:D413,D413)</f>
        <v>22</v>
      </c>
      <c r="G413" t="str">
        <f t="shared" si="6"/>
        <v>3871C</v>
      </c>
      <c r="H413">
        <v>5.4664615000000003</v>
      </c>
      <c r="I413">
        <v>52.171242900000003</v>
      </c>
      <c r="J413" t="s">
        <v>408</v>
      </c>
      <c r="K413" t="s">
        <v>393</v>
      </c>
      <c r="L413" t="s">
        <v>60</v>
      </c>
      <c r="M413" t="s">
        <v>6</v>
      </c>
    </row>
    <row r="414" spans="1:13" x14ac:dyDescent="0.25">
      <c r="A414" s="3" t="s">
        <v>59</v>
      </c>
      <c r="B414" s="4">
        <v>29</v>
      </c>
      <c r="C414" s="4"/>
      <c r="D414" s="4" t="s">
        <v>60</v>
      </c>
      <c r="E414" s="4" t="s">
        <v>6</v>
      </c>
      <c r="F414">
        <f>COUNTIFS($D$2:D414,D414)</f>
        <v>23</v>
      </c>
      <c r="G414" t="str">
        <f t="shared" si="6"/>
        <v>3871C</v>
      </c>
      <c r="H414">
        <v>5.4663592000000003</v>
      </c>
      <c r="I414">
        <v>52.171233999999998</v>
      </c>
      <c r="J414" t="s">
        <v>408</v>
      </c>
      <c r="K414" t="s">
        <v>364</v>
      </c>
      <c r="L414" t="s">
        <v>60</v>
      </c>
      <c r="M414" t="s">
        <v>6</v>
      </c>
    </row>
    <row r="415" spans="1:13" x14ac:dyDescent="0.25">
      <c r="A415" s="3" t="s">
        <v>61</v>
      </c>
      <c r="B415" s="4">
        <v>1</v>
      </c>
      <c r="C415" s="4"/>
      <c r="D415" s="4" t="s">
        <v>62</v>
      </c>
      <c r="E415" s="4" t="s">
        <v>6</v>
      </c>
      <c r="F415">
        <f>COUNTIFS($D$2:D415,D415)</f>
        <v>1</v>
      </c>
      <c r="G415" t="str">
        <f t="shared" si="6"/>
        <v>3871C</v>
      </c>
      <c r="H415">
        <v>5.4683085</v>
      </c>
      <c r="I415">
        <v>52.174027899999999</v>
      </c>
      <c r="J415" t="s">
        <v>409</v>
      </c>
      <c r="K415" t="s">
        <v>355</v>
      </c>
      <c r="L415" t="s">
        <v>62</v>
      </c>
      <c r="M415" t="s">
        <v>6</v>
      </c>
    </row>
    <row r="416" spans="1:13" x14ac:dyDescent="0.25">
      <c r="A416" s="3" t="s">
        <v>61</v>
      </c>
      <c r="B416" s="4">
        <v>2</v>
      </c>
      <c r="C416" s="4"/>
      <c r="D416" s="4" t="s">
        <v>62</v>
      </c>
      <c r="E416" s="4" t="s">
        <v>6</v>
      </c>
      <c r="F416">
        <f>COUNTIFS($D$2:D416,D416)</f>
        <v>2</v>
      </c>
      <c r="G416" t="str">
        <f t="shared" si="6"/>
        <v>3871C</v>
      </c>
      <c r="H416">
        <v>5.4683083999999997</v>
      </c>
      <c r="I416">
        <v>52.173974000000001</v>
      </c>
      <c r="J416" t="s">
        <v>409</v>
      </c>
      <c r="K416" t="s">
        <v>370</v>
      </c>
      <c r="L416" t="s">
        <v>62</v>
      </c>
      <c r="M416" t="s">
        <v>6</v>
      </c>
    </row>
    <row r="417" spans="1:13" x14ac:dyDescent="0.25">
      <c r="A417" s="3" t="s">
        <v>61</v>
      </c>
      <c r="B417" s="4">
        <v>3</v>
      </c>
      <c r="C417" s="4"/>
      <c r="D417" s="4" t="s">
        <v>62</v>
      </c>
      <c r="E417" s="4" t="s">
        <v>6</v>
      </c>
      <c r="F417">
        <f>COUNTIFS($D$2:D417,D417)</f>
        <v>3</v>
      </c>
      <c r="G417" t="str">
        <f t="shared" si="6"/>
        <v>3871C</v>
      </c>
      <c r="H417">
        <v>5.4683229000000004</v>
      </c>
      <c r="I417">
        <v>52.173911099999998</v>
      </c>
      <c r="J417" t="s">
        <v>409</v>
      </c>
      <c r="K417" t="s">
        <v>356</v>
      </c>
      <c r="L417" t="s">
        <v>62</v>
      </c>
      <c r="M417" t="s">
        <v>6</v>
      </c>
    </row>
    <row r="418" spans="1:13" x14ac:dyDescent="0.25">
      <c r="A418" s="3" t="s">
        <v>61</v>
      </c>
      <c r="B418" s="4">
        <v>4</v>
      </c>
      <c r="C418" s="4"/>
      <c r="D418" s="4" t="s">
        <v>62</v>
      </c>
      <c r="E418" s="4" t="s">
        <v>6</v>
      </c>
      <c r="F418">
        <f>COUNTIFS($D$2:D418,D418)</f>
        <v>4</v>
      </c>
      <c r="G418" t="str">
        <f t="shared" si="6"/>
        <v>3871C</v>
      </c>
      <c r="H418">
        <v>5.4683228000000002</v>
      </c>
      <c r="I418">
        <v>52.173857099999999</v>
      </c>
      <c r="J418" t="s">
        <v>409</v>
      </c>
      <c r="K418" t="s">
        <v>260</v>
      </c>
      <c r="L418" t="s">
        <v>62</v>
      </c>
      <c r="M418" t="s">
        <v>6</v>
      </c>
    </row>
    <row r="419" spans="1:13" x14ac:dyDescent="0.25">
      <c r="A419" s="3" t="s">
        <v>61</v>
      </c>
      <c r="B419" s="4">
        <v>5</v>
      </c>
      <c r="C419" s="4"/>
      <c r="D419" s="4" t="s">
        <v>62</v>
      </c>
      <c r="E419" s="4" t="s">
        <v>6</v>
      </c>
      <c r="F419">
        <f>COUNTIFS($D$2:D419,D419)</f>
        <v>5</v>
      </c>
      <c r="G419" t="str">
        <f t="shared" si="6"/>
        <v>3871C</v>
      </c>
      <c r="H419">
        <v>5.4683226999999999</v>
      </c>
      <c r="I419">
        <v>52.173803200000002</v>
      </c>
      <c r="J419" t="s">
        <v>409</v>
      </c>
      <c r="K419" t="s">
        <v>357</v>
      </c>
      <c r="L419" t="s">
        <v>62</v>
      </c>
      <c r="M419" t="s">
        <v>6</v>
      </c>
    </row>
    <row r="420" spans="1:13" x14ac:dyDescent="0.25">
      <c r="A420" s="3" t="s">
        <v>61</v>
      </c>
      <c r="B420" s="4">
        <v>6</v>
      </c>
      <c r="C420" s="4"/>
      <c r="D420" s="4" t="s">
        <v>62</v>
      </c>
      <c r="E420" s="4" t="s">
        <v>6</v>
      </c>
      <c r="F420">
        <f>COUNTIFS($D$2:D420,D420)</f>
        <v>6</v>
      </c>
      <c r="G420" t="str">
        <f t="shared" si="6"/>
        <v>3871C</v>
      </c>
      <c r="H420">
        <v>5.4683225999999996</v>
      </c>
      <c r="I420">
        <v>52.173749299999997</v>
      </c>
      <c r="J420" t="s">
        <v>409</v>
      </c>
      <c r="K420" t="s">
        <v>262</v>
      </c>
      <c r="L420" t="s">
        <v>62</v>
      </c>
      <c r="M420" t="s">
        <v>6</v>
      </c>
    </row>
    <row r="421" spans="1:13" x14ac:dyDescent="0.25">
      <c r="A421" s="3" t="s">
        <v>61</v>
      </c>
      <c r="B421" s="4">
        <v>7</v>
      </c>
      <c r="C421" s="4"/>
      <c r="D421" s="4" t="s">
        <v>62</v>
      </c>
      <c r="E421" s="4" t="s">
        <v>6</v>
      </c>
      <c r="F421">
        <f>COUNTIFS($D$2:D421,D421)</f>
        <v>7</v>
      </c>
      <c r="G421" t="str">
        <f t="shared" si="6"/>
        <v>3871C</v>
      </c>
      <c r="H421">
        <v>5.4683225000000002</v>
      </c>
      <c r="I421">
        <v>52.1736954</v>
      </c>
      <c r="J421" t="s">
        <v>409</v>
      </c>
      <c r="K421" t="s">
        <v>358</v>
      </c>
      <c r="L421" t="s">
        <v>62</v>
      </c>
      <c r="M421" t="s">
        <v>6</v>
      </c>
    </row>
    <row r="422" spans="1:13" x14ac:dyDescent="0.25">
      <c r="A422" s="3" t="s">
        <v>61</v>
      </c>
      <c r="B422" s="4">
        <v>8</v>
      </c>
      <c r="C422" s="4"/>
      <c r="D422" s="4" t="s">
        <v>62</v>
      </c>
      <c r="E422" s="4" t="s">
        <v>6</v>
      </c>
      <c r="F422">
        <f>COUNTIFS($D$2:D422,D422)</f>
        <v>8</v>
      </c>
      <c r="G422" t="str">
        <f t="shared" si="6"/>
        <v>3871C</v>
      </c>
      <c r="H422">
        <v>5.4683223999999999</v>
      </c>
      <c r="I422">
        <v>52.173641400000001</v>
      </c>
      <c r="J422" t="s">
        <v>409</v>
      </c>
      <c r="K422" t="s">
        <v>263</v>
      </c>
      <c r="L422" t="s">
        <v>62</v>
      </c>
      <c r="M422" t="s">
        <v>6</v>
      </c>
    </row>
    <row r="423" spans="1:13" x14ac:dyDescent="0.25">
      <c r="A423" s="3" t="s">
        <v>61</v>
      </c>
      <c r="B423" s="4">
        <v>9</v>
      </c>
      <c r="C423" s="4"/>
      <c r="D423" s="4" t="s">
        <v>62</v>
      </c>
      <c r="E423" s="4" t="s">
        <v>6</v>
      </c>
      <c r="F423">
        <f>COUNTIFS($D$2:D423,D423)</f>
        <v>9</v>
      </c>
      <c r="G423" t="str">
        <f t="shared" si="6"/>
        <v>3871C</v>
      </c>
      <c r="H423">
        <v>5.4683514999999998</v>
      </c>
      <c r="I423">
        <v>52.173578499999998</v>
      </c>
      <c r="J423" t="s">
        <v>409</v>
      </c>
      <c r="K423" t="s">
        <v>382</v>
      </c>
      <c r="L423" t="s">
        <v>62</v>
      </c>
      <c r="M423" t="s">
        <v>6</v>
      </c>
    </row>
    <row r="424" spans="1:13" x14ac:dyDescent="0.25">
      <c r="A424" s="3" t="s">
        <v>61</v>
      </c>
      <c r="B424" s="4">
        <v>10</v>
      </c>
      <c r="C424" s="4"/>
      <c r="D424" s="4" t="s">
        <v>62</v>
      </c>
      <c r="E424" s="4" t="s">
        <v>6</v>
      </c>
      <c r="F424">
        <f>COUNTIFS($D$2:D424,D424)</f>
        <v>10</v>
      </c>
      <c r="G424" t="str">
        <f t="shared" si="6"/>
        <v>3871C</v>
      </c>
      <c r="H424">
        <v>5.4683066</v>
      </c>
      <c r="I424">
        <v>52.173012300000003</v>
      </c>
      <c r="J424" t="s">
        <v>409</v>
      </c>
      <c r="K424" t="s">
        <v>264</v>
      </c>
      <c r="L424" t="s">
        <v>62</v>
      </c>
      <c r="M424" t="s">
        <v>6</v>
      </c>
    </row>
    <row r="425" spans="1:13" x14ac:dyDescent="0.25">
      <c r="A425" s="3" t="s">
        <v>61</v>
      </c>
      <c r="B425" s="4">
        <v>11</v>
      </c>
      <c r="C425" s="4"/>
      <c r="D425" s="4" t="s">
        <v>62</v>
      </c>
      <c r="E425" s="4" t="s">
        <v>6</v>
      </c>
      <c r="F425">
        <f>COUNTIFS($D$2:D425,D425)</f>
        <v>11</v>
      </c>
      <c r="G425" t="str">
        <f t="shared" si="6"/>
        <v>3871C</v>
      </c>
      <c r="H425">
        <v>5.4683121999999997</v>
      </c>
      <c r="I425">
        <v>52.172948900000002</v>
      </c>
      <c r="J425" t="s">
        <v>409</v>
      </c>
      <c r="K425" t="s">
        <v>391</v>
      </c>
      <c r="L425" t="s">
        <v>62</v>
      </c>
      <c r="M425" t="s">
        <v>6</v>
      </c>
    </row>
    <row r="426" spans="1:13" x14ac:dyDescent="0.25">
      <c r="A426" s="3" t="s">
        <v>61</v>
      </c>
      <c r="B426" s="4">
        <v>12</v>
      </c>
      <c r="C426" s="4"/>
      <c r="D426" s="4" t="s">
        <v>62</v>
      </c>
      <c r="E426" s="4" t="s">
        <v>6</v>
      </c>
      <c r="F426">
        <f>COUNTIFS($D$2:D426,D426)</f>
        <v>12</v>
      </c>
      <c r="G426" t="str">
        <f t="shared" si="6"/>
        <v>3871C</v>
      </c>
      <c r="H426">
        <v>5.4683210999999998</v>
      </c>
      <c r="I426">
        <v>52.172893700000003</v>
      </c>
      <c r="J426" t="s">
        <v>409</v>
      </c>
      <c r="K426" t="s">
        <v>265</v>
      </c>
      <c r="L426" t="s">
        <v>62</v>
      </c>
      <c r="M426" t="s">
        <v>6</v>
      </c>
    </row>
    <row r="427" spans="1:13" x14ac:dyDescent="0.25">
      <c r="A427" s="3" t="s">
        <v>61</v>
      </c>
      <c r="B427" s="4">
        <v>13</v>
      </c>
      <c r="C427" s="4"/>
      <c r="D427" s="4" t="s">
        <v>62</v>
      </c>
      <c r="E427" s="4" t="s">
        <v>6</v>
      </c>
      <c r="F427">
        <f>COUNTIFS($D$2:D427,D427)</f>
        <v>13</v>
      </c>
      <c r="G427" t="str">
        <f t="shared" si="6"/>
        <v>3871C</v>
      </c>
      <c r="H427">
        <v>5.4683184999999996</v>
      </c>
      <c r="I427">
        <v>52.172842099999997</v>
      </c>
      <c r="J427" t="s">
        <v>409</v>
      </c>
      <c r="K427" t="s">
        <v>359</v>
      </c>
      <c r="L427" t="s">
        <v>62</v>
      </c>
      <c r="M427" t="s">
        <v>6</v>
      </c>
    </row>
    <row r="428" spans="1:13" x14ac:dyDescent="0.25">
      <c r="A428" s="3" t="s">
        <v>61</v>
      </c>
      <c r="B428" s="4">
        <v>14</v>
      </c>
      <c r="C428" s="4"/>
      <c r="D428" s="4" t="s">
        <v>62</v>
      </c>
      <c r="E428" s="4" t="s">
        <v>6</v>
      </c>
      <c r="F428">
        <f>COUNTIFS($D$2:D428,D428)</f>
        <v>14</v>
      </c>
      <c r="G428" t="str">
        <f t="shared" si="6"/>
        <v>3871C</v>
      </c>
      <c r="H428">
        <v>5.4683207999999999</v>
      </c>
      <c r="I428">
        <v>52.172787599999999</v>
      </c>
      <c r="J428" t="s">
        <v>409</v>
      </c>
      <c r="K428" t="s">
        <v>266</v>
      </c>
      <c r="L428" t="s">
        <v>62</v>
      </c>
      <c r="M428" t="s">
        <v>6</v>
      </c>
    </row>
    <row r="429" spans="1:13" x14ac:dyDescent="0.25">
      <c r="A429" s="3" t="s">
        <v>61</v>
      </c>
      <c r="B429" s="4">
        <v>16</v>
      </c>
      <c r="C429" s="4"/>
      <c r="D429" s="4" t="s">
        <v>62</v>
      </c>
      <c r="E429" s="4" t="s">
        <v>6</v>
      </c>
      <c r="F429">
        <f>COUNTIFS($D$2:D429,D429)</f>
        <v>15</v>
      </c>
      <c r="G429" t="str">
        <f t="shared" si="6"/>
        <v>3871C</v>
      </c>
      <c r="H429">
        <v>5.4683206000000002</v>
      </c>
      <c r="I429">
        <v>52.172670699999998</v>
      </c>
      <c r="J429" t="s">
        <v>409</v>
      </c>
      <c r="K429" t="s">
        <v>371</v>
      </c>
      <c r="L429" t="s">
        <v>62</v>
      </c>
      <c r="M429" t="s">
        <v>6</v>
      </c>
    </row>
    <row r="430" spans="1:13" x14ac:dyDescent="0.25">
      <c r="A430" s="3" t="s">
        <v>61</v>
      </c>
      <c r="B430" s="4">
        <v>17</v>
      </c>
      <c r="C430" s="4"/>
      <c r="D430" s="4" t="s">
        <v>62</v>
      </c>
      <c r="E430" s="4" t="s">
        <v>6</v>
      </c>
      <c r="F430">
        <f>COUNTIFS($D$2:D430,D430)</f>
        <v>16</v>
      </c>
      <c r="G430" t="str">
        <f t="shared" si="6"/>
        <v>3871C</v>
      </c>
      <c r="H430">
        <v>5.4683204999999999</v>
      </c>
      <c r="I430">
        <v>52.172625799999999</v>
      </c>
      <c r="J430" t="s">
        <v>409</v>
      </c>
      <c r="K430" t="s">
        <v>360</v>
      </c>
      <c r="L430" t="s">
        <v>62</v>
      </c>
      <c r="M430" t="s">
        <v>6</v>
      </c>
    </row>
    <row r="431" spans="1:13" x14ac:dyDescent="0.25">
      <c r="A431" s="3" t="s">
        <v>63</v>
      </c>
      <c r="B431" s="4">
        <v>18</v>
      </c>
      <c r="C431" s="4"/>
      <c r="D431" s="4" t="s">
        <v>62</v>
      </c>
      <c r="E431" s="4" t="s">
        <v>6</v>
      </c>
      <c r="F431">
        <f>COUNTIFS($D$2:D431,D431)</f>
        <v>17</v>
      </c>
      <c r="G431" t="str">
        <f t="shared" si="6"/>
        <v>3871C</v>
      </c>
      <c r="H431">
        <v>5.4683634000000003</v>
      </c>
      <c r="I431">
        <v>52.172068500000002</v>
      </c>
      <c r="J431" t="s">
        <v>410</v>
      </c>
      <c r="K431" t="s">
        <v>267</v>
      </c>
      <c r="L431" t="s">
        <v>62</v>
      </c>
      <c r="M431" t="s">
        <v>6</v>
      </c>
    </row>
    <row r="432" spans="1:13" x14ac:dyDescent="0.25">
      <c r="A432" s="3" t="s">
        <v>63</v>
      </c>
      <c r="B432" s="4">
        <v>20</v>
      </c>
      <c r="C432" s="4"/>
      <c r="D432" s="4" t="s">
        <v>62</v>
      </c>
      <c r="E432" s="4" t="s">
        <v>6</v>
      </c>
      <c r="F432">
        <f>COUNTIFS($D$2:D432,D432)</f>
        <v>18</v>
      </c>
      <c r="G432" t="str">
        <f t="shared" si="6"/>
        <v>3871C</v>
      </c>
      <c r="H432">
        <v>5.4683776999999996</v>
      </c>
      <c r="I432">
        <v>52.171942700000002</v>
      </c>
      <c r="J432" t="s">
        <v>410</v>
      </c>
      <c r="K432" t="s">
        <v>372</v>
      </c>
      <c r="L432" t="s">
        <v>62</v>
      </c>
      <c r="M432" t="s">
        <v>6</v>
      </c>
    </row>
    <row r="433" spans="1:13" x14ac:dyDescent="0.25">
      <c r="A433" s="3" t="s">
        <v>63</v>
      </c>
      <c r="B433" s="4">
        <v>21</v>
      </c>
      <c r="C433" s="4"/>
      <c r="D433" s="4" t="s">
        <v>62</v>
      </c>
      <c r="E433" s="4" t="s">
        <v>6</v>
      </c>
      <c r="F433">
        <f>COUNTIFS($D$2:D433,D433)</f>
        <v>19</v>
      </c>
      <c r="G433" t="str">
        <f t="shared" si="6"/>
        <v>3871C</v>
      </c>
      <c r="H433">
        <v>5.4683922999999997</v>
      </c>
      <c r="I433">
        <v>52.171888699999997</v>
      </c>
      <c r="J433" t="s">
        <v>410</v>
      </c>
      <c r="K433" t="s">
        <v>362</v>
      </c>
      <c r="L433" t="s">
        <v>62</v>
      </c>
      <c r="M433" t="s">
        <v>6</v>
      </c>
    </row>
    <row r="434" spans="1:13" x14ac:dyDescent="0.25">
      <c r="A434" s="3" t="s">
        <v>63</v>
      </c>
      <c r="B434" s="4">
        <v>22</v>
      </c>
      <c r="C434" s="4"/>
      <c r="D434" s="4" t="s">
        <v>62</v>
      </c>
      <c r="E434" s="4" t="s">
        <v>6</v>
      </c>
      <c r="F434">
        <f>COUNTIFS($D$2:D434,D434)</f>
        <v>20</v>
      </c>
      <c r="G434" t="str">
        <f t="shared" si="6"/>
        <v>3871C</v>
      </c>
      <c r="H434">
        <v>5.4683922000000003</v>
      </c>
      <c r="I434">
        <v>52.171834799999999</v>
      </c>
      <c r="J434" t="s">
        <v>410</v>
      </c>
      <c r="K434" t="s">
        <v>269</v>
      </c>
      <c r="L434" t="s">
        <v>62</v>
      </c>
      <c r="M434" t="s">
        <v>6</v>
      </c>
    </row>
    <row r="435" spans="1:13" x14ac:dyDescent="0.25">
      <c r="A435" s="3" t="s">
        <v>63</v>
      </c>
      <c r="B435" s="4">
        <v>24</v>
      </c>
      <c r="C435" s="4"/>
      <c r="D435" s="4" t="s">
        <v>62</v>
      </c>
      <c r="E435" s="4" t="s">
        <v>6</v>
      </c>
      <c r="F435">
        <f>COUNTIFS($D$2:D435,D435)</f>
        <v>21</v>
      </c>
      <c r="G435" t="str">
        <f t="shared" si="6"/>
        <v>3871C</v>
      </c>
      <c r="H435">
        <v>5.4684065999999998</v>
      </c>
      <c r="I435">
        <v>52.171717999999998</v>
      </c>
      <c r="J435" t="s">
        <v>410</v>
      </c>
      <c r="K435" t="s">
        <v>270</v>
      </c>
      <c r="L435" t="s">
        <v>62</v>
      </c>
      <c r="M435" t="s">
        <v>6</v>
      </c>
    </row>
    <row r="436" spans="1:13" x14ac:dyDescent="0.25">
      <c r="A436" s="3" t="s">
        <v>63</v>
      </c>
      <c r="B436" s="4">
        <v>25</v>
      </c>
      <c r="C436" s="4"/>
      <c r="D436" s="4" t="s">
        <v>62</v>
      </c>
      <c r="E436" s="4" t="s">
        <v>6</v>
      </c>
      <c r="F436">
        <f>COUNTIFS($D$2:D436,D436)</f>
        <v>22</v>
      </c>
      <c r="G436" t="str">
        <f t="shared" si="6"/>
        <v>3871C</v>
      </c>
      <c r="H436">
        <v>5.4684210999999996</v>
      </c>
      <c r="I436">
        <v>52.171655000000001</v>
      </c>
      <c r="J436" t="s">
        <v>410</v>
      </c>
      <c r="K436" t="s">
        <v>385</v>
      </c>
      <c r="L436" t="s">
        <v>62</v>
      </c>
      <c r="M436" t="s">
        <v>6</v>
      </c>
    </row>
    <row r="437" spans="1:13" x14ac:dyDescent="0.25">
      <c r="A437" s="3" t="s">
        <v>63</v>
      </c>
      <c r="B437" s="4">
        <v>26</v>
      </c>
      <c r="C437" s="4"/>
      <c r="D437" s="4" t="s">
        <v>62</v>
      </c>
      <c r="E437" s="4" t="s">
        <v>6</v>
      </c>
      <c r="F437">
        <f>COUNTIFS($D$2:D437,D437)</f>
        <v>23</v>
      </c>
      <c r="G437" t="str">
        <f t="shared" si="6"/>
        <v>3871C</v>
      </c>
      <c r="H437">
        <v>5.4684492000000002</v>
      </c>
      <c r="I437">
        <v>52.171052799999998</v>
      </c>
      <c r="J437" t="s">
        <v>410</v>
      </c>
      <c r="K437" t="s">
        <v>271</v>
      </c>
      <c r="L437" t="s">
        <v>62</v>
      </c>
      <c r="M437" t="s">
        <v>6</v>
      </c>
    </row>
    <row r="438" spans="1:13" x14ac:dyDescent="0.25">
      <c r="A438" s="3" t="s">
        <v>63</v>
      </c>
      <c r="B438" s="4">
        <v>27</v>
      </c>
      <c r="C438" s="4"/>
      <c r="D438" s="4" t="s">
        <v>62</v>
      </c>
      <c r="E438" s="4" t="s">
        <v>6</v>
      </c>
      <c r="F438">
        <f>COUNTIFS($D$2:D438,D438)</f>
        <v>24</v>
      </c>
      <c r="G438" t="str">
        <f t="shared" si="6"/>
        <v>3871C</v>
      </c>
      <c r="H438">
        <v>5.4684491</v>
      </c>
      <c r="I438">
        <v>52.171007899999999</v>
      </c>
      <c r="J438" t="s">
        <v>410</v>
      </c>
      <c r="K438" t="s">
        <v>393</v>
      </c>
      <c r="L438" t="s">
        <v>62</v>
      </c>
      <c r="M438" t="s">
        <v>6</v>
      </c>
    </row>
    <row r="439" spans="1:13" x14ac:dyDescent="0.25">
      <c r="A439" s="3" t="s">
        <v>63</v>
      </c>
      <c r="B439" s="4">
        <v>28</v>
      </c>
      <c r="C439" s="4"/>
      <c r="D439" s="4" t="s">
        <v>62</v>
      </c>
      <c r="E439" s="4" t="s">
        <v>6</v>
      </c>
      <c r="F439">
        <f>COUNTIFS($D$2:D439,D439)</f>
        <v>25</v>
      </c>
      <c r="G439" t="str">
        <f t="shared" si="6"/>
        <v>3871C</v>
      </c>
      <c r="H439">
        <v>5.4684518000000004</v>
      </c>
      <c r="I439">
        <v>52.170955300000003</v>
      </c>
      <c r="J439" t="s">
        <v>410</v>
      </c>
      <c r="K439" t="s">
        <v>272</v>
      </c>
      <c r="L439" t="s">
        <v>62</v>
      </c>
      <c r="M439" t="s">
        <v>6</v>
      </c>
    </row>
    <row r="440" spans="1:13" x14ac:dyDescent="0.25">
      <c r="A440" s="3" t="s">
        <v>63</v>
      </c>
      <c r="B440" s="4">
        <v>29</v>
      </c>
      <c r="C440" s="4"/>
      <c r="D440" s="4" t="s">
        <v>62</v>
      </c>
      <c r="E440" s="4" t="s">
        <v>6</v>
      </c>
      <c r="F440">
        <f>COUNTIFS($D$2:D440,D440)</f>
        <v>26</v>
      </c>
      <c r="G440" t="str">
        <f t="shared" si="6"/>
        <v>3871C</v>
      </c>
      <c r="H440">
        <v>5.4684635999999998</v>
      </c>
      <c r="I440">
        <v>52.170900000000003</v>
      </c>
      <c r="J440" t="s">
        <v>410</v>
      </c>
      <c r="K440" t="s">
        <v>364</v>
      </c>
      <c r="L440" t="s">
        <v>62</v>
      </c>
      <c r="M440" t="s">
        <v>6</v>
      </c>
    </row>
    <row r="441" spans="1:13" x14ac:dyDescent="0.25">
      <c r="A441" s="3" t="s">
        <v>63</v>
      </c>
      <c r="B441" s="4">
        <v>30</v>
      </c>
      <c r="C441" s="4"/>
      <c r="D441" s="4" t="s">
        <v>62</v>
      </c>
      <c r="E441" s="4" t="s">
        <v>6</v>
      </c>
      <c r="F441">
        <f>COUNTIFS($D$2:D441,D441)</f>
        <v>27</v>
      </c>
      <c r="G441" t="str">
        <f t="shared" si="6"/>
        <v>3871C</v>
      </c>
      <c r="H441">
        <v>5.4684634000000001</v>
      </c>
      <c r="I441">
        <v>52.170828100000001</v>
      </c>
      <c r="J441" t="s">
        <v>410</v>
      </c>
      <c r="K441" t="s">
        <v>373</v>
      </c>
      <c r="L441" t="s">
        <v>62</v>
      </c>
      <c r="M441" t="s">
        <v>6</v>
      </c>
    </row>
    <row r="442" spans="1:13" x14ac:dyDescent="0.25">
      <c r="A442" s="3" t="s">
        <v>63</v>
      </c>
      <c r="B442" s="4">
        <v>31</v>
      </c>
      <c r="C442" s="4"/>
      <c r="D442" s="4" t="s">
        <v>62</v>
      </c>
      <c r="E442" s="4" t="s">
        <v>6</v>
      </c>
      <c r="F442">
        <f>COUNTIFS($D$2:D442,D442)</f>
        <v>28</v>
      </c>
      <c r="G442" t="str">
        <f t="shared" si="6"/>
        <v>3871C</v>
      </c>
      <c r="H442">
        <v>5.4684632999999998</v>
      </c>
      <c r="I442">
        <v>52.170774199999997</v>
      </c>
      <c r="J442" t="s">
        <v>410</v>
      </c>
      <c r="K442" t="s">
        <v>323</v>
      </c>
      <c r="L442" t="s">
        <v>62</v>
      </c>
      <c r="M442" t="s">
        <v>6</v>
      </c>
    </row>
    <row r="443" spans="1:13" x14ac:dyDescent="0.25">
      <c r="A443" s="3" t="s">
        <v>63</v>
      </c>
      <c r="B443" s="4">
        <v>32</v>
      </c>
      <c r="C443" s="4"/>
      <c r="D443" s="4" t="s">
        <v>62</v>
      </c>
      <c r="E443" s="4" t="s">
        <v>6</v>
      </c>
      <c r="F443">
        <f>COUNTIFS($D$2:D443,D443)</f>
        <v>29</v>
      </c>
      <c r="G443" t="str">
        <f t="shared" si="6"/>
        <v>3871C</v>
      </c>
      <c r="H443">
        <v>5.4684650000000001</v>
      </c>
      <c r="I443">
        <v>52.1707143</v>
      </c>
      <c r="J443" t="s">
        <v>410</v>
      </c>
      <c r="K443" t="s">
        <v>273</v>
      </c>
      <c r="L443" t="s">
        <v>62</v>
      </c>
      <c r="M443" t="s">
        <v>6</v>
      </c>
    </row>
    <row r="444" spans="1:13" x14ac:dyDescent="0.25">
      <c r="A444" s="3" t="s">
        <v>64</v>
      </c>
      <c r="B444" s="4">
        <v>2</v>
      </c>
      <c r="C444" s="4"/>
      <c r="D444" s="4" t="s">
        <v>65</v>
      </c>
      <c r="E444" s="4" t="s">
        <v>6</v>
      </c>
      <c r="F444">
        <f>COUNTIFS($D$2:D444,D444)</f>
        <v>1</v>
      </c>
      <c r="G444" t="str">
        <f t="shared" si="6"/>
        <v>3871C</v>
      </c>
      <c r="H444">
        <v>5.4680831000000003</v>
      </c>
      <c r="I444">
        <v>52.170711500000003</v>
      </c>
      <c r="J444" t="s">
        <v>411</v>
      </c>
      <c r="K444" t="s">
        <v>370</v>
      </c>
      <c r="L444" t="s">
        <v>65</v>
      </c>
      <c r="M444" t="s">
        <v>6</v>
      </c>
    </row>
    <row r="445" spans="1:13" x14ac:dyDescent="0.25">
      <c r="A445" s="3" t="s">
        <v>64</v>
      </c>
      <c r="B445" s="4">
        <v>4</v>
      </c>
      <c r="C445" s="4"/>
      <c r="D445" s="4" t="s">
        <v>65</v>
      </c>
      <c r="E445" s="4" t="s">
        <v>6</v>
      </c>
      <c r="F445">
        <f>COUNTIFS($D$2:D445,D445)</f>
        <v>2</v>
      </c>
      <c r="G445" t="str">
        <f t="shared" si="6"/>
        <v>3871C</v>
      </c>
      <c r="H445">
        <v>5.4679954000000004</v>
      </c>
      <c r="I445">
        <v>52.170711599999997</v>
      </c>
      <c r="J445" t="s">
        <v>411</v>
      </c>
      <c r="K445" t="s">
        <v>260</v>
      </c>
      <c r="L445" t="s">
        <v>65</v>
      </c>
      <c r="M445" t="s">
        <v>6</v>
      </c>
    </row>
    <row r="446" spans="1:13" x14ac:dyDescent="0.25">
      <c r="A446" s="3" t="s">
        <v>64</v>
      </c>
      <c r="B446" s="4">
        <v>6</v>
      </c>
      <c r="C446" s="4"/>
      <c r="D446" s="4" t="s">
        <v>65</v>
      </c>
      <c r="E446" s="4" t="s">
        <v>6</v>
      </c>
      <c r="F446">
        <f>COUNTIFS($D$2:D446,D446)</f>
        <v>3</v>
      </c>
      <c r="G446" t="str">
        <f t="shared" si="6"/>
        <v>3871C</v>
      </c>
      <c r="H446">
        <v>5.4679038000000002</v>
      </c>
      <c r="I446">
        <v>52.170714099999998</v>
      </c>
      <c r="J446" t="s">
        <v>411</v>
      </c>
      <c r="K446" t="s">
        <v>262</v>
      </c>
      <c r="L446" t="s">
        <v>65</v>
      </c>
      <c r="M446" t="s">
        <v>6</v>
      </c>
    </row>
    <row r="447" spans="1:13" x14ac:dyDescent="0.25">
      <c r="A447" s="3" t="s">
        <v>64</v>
      </c>
      <c r="B447" s="4">
        <v>8</v>
      </c>
      <c r="C447" s="4"/>
      <c r="D447" s="4" t="s">
        <v>65</v>
      </c>
      <c r="E447" s="4" t="s">
        <v>6</v>
      </c>
      <c r="F447">
        <f>COUNTIFS($D$2:D447,D447)</f>
        <v>4</v>
      </c>
      <c r="G447" t="str">
        <f t="shared" si="6"/>
        <v>3871C</v>
      </c>
      <c r="H447">
        <v>5.4678199999999997</v>
      </c>
      <c r="I447">
        <v>52.170711699999998</v>
      </c>
      <c r="J447" t="s">
        <v>411</v>
      </c>
      <c r="K447" t="s">
        <v>263</v>
      </c>
      <c r="L447" t="s">
        <v>65</v>
      </c>
      <c r="M447" t="s">
        <v>6</v>
      </c>
    </row>
    <row r="448" spans="1:13" x14ac:dyDescent="0.25">
      <c r="A448" s="3" t="s">
        <v>64</v>
      </c>
      <c r="B448" s="4">
        <v>10</v>
      </c>
      <c r="C448" s="4"/>
      <c r="D448" s="4" t="s">
        <v>65</v>
      </c>
      <c r="E448" s="4" t="s">
        <v>6</v>
      </c>
      <c r="F448">
        <f>COUNTIFS($D$2:D448,D448)</f>
        <v>5</v>
      </c>
      <c r="G448" t="str">
        <f t="shared" si="6"/>
        <v>3871C</v>
      </c>
      <c r="H448">
        <v>5.4677176999999997</v>
      </c>
      <c r="I448">
        <v>52.170711799999999</v>
      </c>
      <c r="J448" t="s">
        <v>411</v>
      </c>
      <c r="K448" t="s">
        <v>264</v>
      </c>
      <c r="L448" t="s">
        <v>65</v>
      </c>
      <c r="M448" t="s">
        <v>6</v>
      </c>
    </row>
    <row r="449" spans="1:13" x14ac:dyDescent="0.25">
      <c r="A449" s="3" t="s">
        <v>64</v>
      </c>
      <c r="B449" s="4">
        <v>12</v>
      </c>
      <c r="C449" s="4"/>
      <c r="D449" s="4" t="s">
        <v>65</v>
      </c>
      <c r="E449" s="4" t="s">
        <v>6</v>
      </c>
      <c r="F449">
        <f>COUNTIFS($D$2:D449,D449)</f>
        <v>6</v>
      </c>
      <c r="G449" t="str">
        <f t="shared" si="6"/>
        <v>3871C</v>
      </c>
      <c r="H449">
        <v>5.4676299999999998</v>
      </c>
      <c r="I449">
        <v>52.170702900000002</v>
      </c>
      <c r="J449" t="s">
        <v>411</v>
      </c>
      <c r="K449" t="s">
        <v>265</v>
      </c>
      <c r="L449" t="s">
        <v>65</v>
      </c>
      <c r="M449" t="s">
        <v>6</v>
      </c>
    </row>
    <row r="450" spans="1:13" x14ac:dyDescent="0.25">
      <c r="A450" s="3" t="s">
        <v>64</v>
      </c>
      <c r="B450" s="4">
        <v>14</v>
      </c>
      <c r="C450" s="4"/>
      <c r="D450" s="4" t="s">
        <v>65</v>
      </c>
      <c r="E450" s="4" t="s">
        <v>6</v>
      </c>
      <c r="F450">
        <f>COUNTIFS($D$2:D450,D450)</f>
        <v>7</v>
      </c>
      <c r="G450" t="str">
        <f t="shared" ref="G450:G513" si="7">LEFT(A450,5)</f>
        <v>3871C</v>
      </c>
      <c r="H450">
        <v>5.4675276999999998</v>
      </c>
      <c r="I450">
        <v>52.170702900000002</v>
      </c>
      <c r="J450" t="s">
        <v>411</v>
      </c>
      <c r="K450" t="s">
        <v>266</v>
      </c>
      <c r="L450" t="s">
        <v>65</v>
      </c>
      <c r="M450" t="s">
        <v>6</v>
      </c>
    </row>
    <row r="451" spans="1:13" x14ac:dyDescent="0.25">
      <c r="A451" s="3" t="s">
        <v>64</v>
      </c>
      <c r="B451" s="4">
        <v>16</v>
      </c>
      <c r="C451" s="4"/>
      <c r="D451" s="4" t="s">
        <v>65</v>
      </c>
      <c r="E451" s="4" t="s">
        <v>6</v>
      </c>
      <c r="F451">
        <f>COUNTIFS($D$2:D451,D451)</f>
        <v>8</v>
      </c>
      <c r="G451" t="str">
        <f t="shared" si="7"/>
        <v>3871C</v>
      </c>
      <c r="H451">
        <v>5.4674399999999999</v>
      </c>
      <c r="I451">
        <v>52.170703000000003</v>
      </c>
      <c r="J451" t="s">
        <v>411</v>
      </c>
      <c r="K451" t="s">
        <v>371</v>
      </c>
      <c r="L451" t="s">
        <v>65</v>
      </c>
      <c r="M451" t="s">
        <v>6</v>
      </c>
    </row>
    <row r="452" spans="1:13" x14ac:dyDescent="0.25">
      <c r="A452" s="3" t="s">
        <v>64</v>
      </c>
      <c r="B452" s="4">
        <v>18</v>
      </c>
      <c r="C452" s="4"/>
      <c r="D452" s="4" t="s">
        <v>65</v>
      </c>
      <c r="E452" s="4" t="s">
        <v>6</v>
      </c>
      <c r="F452">
        <f>COUNTIFS($D$2:D452,D452)</f>
        <v>9</v>
      </c>
      <c r="G452" t="str">
        <f t="shared" si="7"/>
        <v>3871C</v>
      </c>
      <c r="H452">
        <v>5.4665635000000004</v>
      </c>
      <c r="I452">
        <v>52.170693900000003</v>
      </c>
      <c r="J452" t="s">
        <v>411</v>
      </c>
      <c r="K452" t="s">
        <v>267</v>
      </c>
      <c r="L452" t="s">
        <v>65</v>
      </c>
      <c r="M452" t="s">
        <v>6</v>
      </c>
    </row>
    <row r="453" spans="1:13" x14ac:dyDescent="0.25">
      <c r="A453" s="3" t="s">
        <v>64</v>
      </c>
      <c r="B453" s="4">
        <v>20</v>
      </c>
      <c r="C453" s="4"/>
      <c r="D453" s="4" t="s">
        <v>65</v>
      </c>
      <c r="E453" s="4" t="s">
        <v>6</v>
      </c>
      <c r="F453">
        <f>COUNTIFS($D$2:D453,D453)</f>
        <v>10</v>
      </c>
      <c r="G453" t="str">
        <f t="shared" si="7"/>
        <v>3871C</v>
      </c>
      <c r="H453">
        <v>5.4664583999999996</v>
      </c>
      <c r="I453">
        <v>52.1707082</v>
      </c>
      <c r="J453" t="s">
        <v>411</v>
      </c>
      <c r="K453" t="s">
        <v>372</v>
      </c>
      <c r="L453" t="s">
        <v>65</v>
      </c>
      <c r="M453" t="s">
        <v>6</v>
      </c>
    </row>
    <row r="454" spans="1:13" x14ac:dyDescent="0.25">
      <c r="A454" s="3" t="s">
        <v>64</v>
      </c>
      <c r="B454" s="4">
        <v>22</v>
      </c>
      <c r="C454" s="4"/>
      <c r="D454" s="4" t="s">
        <v>65</v>
      </c>
      <c r="E454" s="4" t="s">
        <v>6</v>
      </c>
      <c r="F454">
        <f>COUNTIFS($D$2:D454,D454)</f>
        <v>11</v>
      </c>
      <c r="G454" t="str">
        <f t="shared" si="7"/>
        <v>3871C</v>
      </c>
      <c r="H454">
        <v>5.4663613</v>
      </c>
      <c r="I454">
        <v>52.1706474</v>
      </c>
      <c r="J454" t="s">
        <v>411</v>
      </c>
      <c r="K454" t="s">
        <v>269</v>
      </c>
      <c r="L454" t="s">
        <v>65</v>
      </c>
      <c r="M454" t="s">
        <v>6</v>
      </c>
    </row>
    <row r="455" spans="1:13" x14ac:dyDescent="0.25">
      <c r="A455" s="3" t="s">
        <v>64</v>
      </c>
      <c r="B455" s="4">
        <v>24</v>
      </c>
      <c r="C455" s="4"/>
      <c r="D455" s="4" t="s">
        <v>65</v>
      </c>
      <c r="E455" s="4" t="s">
        <v>6</v>
      </c>
      <c r="F455">
        <f>COUNTIFS($D$2:D455,D455)</f>
        <v>12</v>
      </c>
      <c r="G455" t="str">
        <f t="shared" si="7"/>
        <v>3871C</v>
      </c>
      <c r="H455">
        <v>5.4662664999999997</v>
      </c>
      <c r="I455">
        <v>52.170659100000002</v>
      </c>
      <c r="J455" t="s">
        <v>411</v>
      </c>
      <c r="K455" t="s">
        <v>270</v>
      </c>
      <c r="L455" t="s">
        <v>65</v>
      </c>
      <c r="M455" t="s">
        <v>6</v>
      </c>
    </row>
    <row r="456" spans="1:13" x14ac:dyDescent="0.25">
      <c r="A456" s="3" t="s">
        <v>64</v>
      </c>
      <c r="B456" s="4">
        <v>26</v>
      </c>
      <c r="C456" s="4"/>
      <c r="D456" s="4" t="s">
        <v>65</v>
      </c>
      <c r="E456" s="4" t="s">
        <v>6</v>
      </c>
      <c r="F456">
        <f>COUNTIFS($D$2:D456,D456)</f>
        <v>13</v>
      </c>
      <c r="G456" t="str">
        <f t="shared" si="7"/>
        <v>3871C</v>
      </c>
      <c r="H456">
        <v>5.4661857999999999</v>
      </c>
      <c r="I456">
        <v>52.170668999999997</v>
      </c>
      <c r="J456" t="s">
        <v>411</v>
      </c>
      <c r="K456" t="s">
        <v>271</v>
      </c>
      <c r="L456" t="s">
        <v>65</v>
      </c>
      <c r="M456" t="s">
        <v>6</v>
      </c>
    </row>
    <row r="457" spans="1:13" x14ac:dyDescent="0.25">
      <c r="A457" s="3" t="s">
        <v>64</v>
      </c>
      <c r="B457" s="4">
        <v>30</v>
      </c>
      <c r="C457" s="4"/>
      <c r="D457" s="4" t="s">
        <v>65</v>
      </c>
      <c r="E457" s="4" t="s">
        <v>6</v>
      </c>
      <c r="F457">
        <f>COUNTIFS($D$2:D457,D457)</f>
        <v>14</v>
      </c>
      <c r="G457" t="str">
        <f t="shared" si="7"/>
        <v>3871C</v>
      </c>
      <c r="H457">
        <v>5.4659782000000003</v>
      </c>
      <c r="I457">
        <v>52.170690499999999</v>
      </c>
      <c r="J457" t="s">
        <v>411</v>
      </c>
      <c r="K457" t="s">
        <v>373</v>
      </c>
      <c r="L457" t="s">
        <v>65</v>
      </c>
      <c r="M457" t="s">
        <v>6</v>
      </c>
    </row>
    <row r="458" spans="1:13" x14ac:dyDescent="0.25">
      <c r="A458" s="3" t="s">
        <v>66</v>
      </c>
      <c r="B458" s="4">
        <v>1</v>
      </c>
      <c r="C458" s="4"/>
      <c r="D458" s="4" t="s">
        <v>67</v>
      </c>
      <c r="E458" s="4" t="s">
        <v>6</v>
      </c>
      <c r="F458">
        <f>COUNTIFS($D$2:D458,D458)</f>
        <v>1</v>
      </c>
      <c r="G458" t="str">
        <f t="shared" si="7"/>
        <v>3871C</v>
      </c>
      <c r="H458">
        <v>5.4669720999999996</v>
      </c>
      <c r="I458">
        <v>52.170676299999997</v>
      </c>
      <c r="J458" t="s">
        <v>412</v>
      </c>
      <c r="K458" t="s">
        <v>355</v>
      </c>
      <c r="L458" t="s">
        <v>67</v>
      </c>
      <c r="M458" t="s">
        <v>6</v>
      </c>
    </row>
    <row r="459" spans="1:13" x14ac:dyDescent="0.25">
      <c r="A459" s="3" t="s">
        <v>66</v>
      </c>
      <c r="B459" s="4">
        <v>2</v>
      </c>
      <c r="C459" s="4"/>
      <c r="D459" s="4" t="s">
        <v>67</v>
      </c>
      <c r="E459" s="4" t="s">
        <v>6</v>
      </c>
      <c r="F459">
        <f>COUNTIFS($D$2:D459,D459)</f>
        <v>2</v>
      </c>
      <c r="G459" t="str">
        <f t="shared" si="7"/>
        <v>3871C</v>
      </c>
      <c r="H459">
        <v>5.4674404000000001</v>
      </c>
      <c r="I459">
        <v>52.170936699999999</v>
      </c>
      <c r="J459" t="s">
        <v>412</v>
      </c>
      <c r="K459" t="s">
        <v>370</v>
      </c>
      <c r="L459" t="s">
        <v>67</v>
      </c>
      <c r="M459" t="s">
        <v>6</v>
      </c>
    </row>
    <row r="460" spans="1:13" x14ac:dyDescent="0.25">
      <c r="A460" s="3" t="s">
        <v>66</v>
      </c>
      <c r="B460" s="4">
        <v>3</v>
      </c>
      <c r="C460" s="4"/>
      <c r="D460" s="4" t="s">
        <v>67</v>
      </c>
      <c r="E460" s="4" t="s">
        <v>6</v>
      </c>
      <c r="F460">
        <f>COUNTIFS($D$2:D460,D460)</f>
        <v>3</v>
      </c>
      <c r="G460" t="str">
        <f t="shared" si="7"/>
        <v>3871C</v>
      </c>
      <c r="H460">
        <v>5.4669575999999998</v>
      </c>
      <c r="I460">
        <v>52.170739300000001</v>
      </c>
      <c r="J460" t="s">
        <v>412</v>
      </c>
      <c r="K460" t="s">
        <v>356</v>
      </c>
      <c r="L460" t="s">
        <v>67</v>
      </c>
      <c r="M460" t="s">
        <v>6</v>
      </c>
    </row>
    <row r="461" spans="1:13" x14ac:dyDescent="0.25">
      <c r="A461" s="3" t="s">
        <v>66</v>
      </c>
      <c r="B461" s="4">
        <v>4</v>
      </c>
      <c r="C461" s="4"/>
      <c r="D461" s="4" t="s">
        <v>67</v>
      </c>
      <c r="E461" s="4" t="s">
        <v>6</v>
      </c>
      <c r="F461">
        <f>COUNTIFS($D$2:D461,D461)</f>
        <v>4</v>
      </c>
      <c r="G461" t="str">
        <f t="shared" si="7"/>
        <v>3871C</v>
      </c>
      <c r="H461">
        <v>5.4674405000000004</v>
      </c>
      <c r="I461">
        <v>52.170990600000003</v>
      </c>
      <c r="J461" t="s">
        <v>412</v>
      </c>
      <c r="K461" t="s">
        <v>260</v>
      </c>
      <c r="L461" t="s">
        <v>67</v>
      </c>
      <c r="M461" t="s">
        <v>6</v>
      </c>
    </row>
    <row r="462" spans="1:13" x14ac:dyDescent="0.25">
      <c r="A462" s="3" t="s">
        <v>66</v>
      </c>
      <c r="B462" s="4">
        <v>5</v>
      </c>
      <c r="C462" s="4"/>
      <c r="D462" s="4" t="s">
        <v>67</v>
      </c>
      <c r="E462" s="4" t="s">
        <v>6</v>
      </c>
      <c r="F462">
        <f>COUNTIFS($D$2:D462,D462)</f>
        <v>5</v>
      </c>
      <c r="G462" t="str">
        <f t="shared" si="7"/>
        <v>3871C</v>
      </c>
      <c r="H462">
        <v>5.4669724000000004</v>
      </c>
      <c r="I462">
        <v>52.170793199999999</v>
      </c>
      <c r="J462" t="s">
        <v>412</v>
      </c>
      <c r="K462" t="s">
        <v>357</v>
      </c>
      <c r="L462" t="s">
        <v>67</v>
      </c>
      <c r="M462" t="s">
        <v>6</v>
      </c>
    </row>
    <row r="463" spans="1:13" x14ac:dyDescent="0.25">
      <c r="A463" s="3" t="s">
        <v>66</v>
      </c>
      <c r="B463" s="4">
        <v>6</v>
      </c>
      <c r="C463" s="4"/>
      <c r="D463" s="4" t="s">
        <v>67</v>
      </c>
      <c r="E463" s="4" t="s">
        <v>6</v>
      </c>
      <c r="F463">
        <f>COUNTIFS($D$2:D463,D463)</f>
        <v>6</v>
      </c>
      <c r="G463" t="str">
        <f t="shared" si="7"/>
        <v>3871C</v>
      </c>
      <c r="H463">
        <v>5.4674405999999998</v>
      </c>
      <c r="I463">
        <v>52.171044500000001</v>
      </c>
      <c r="J463" t="s">
        <v>412</v>
      </c>
      <c r="K463" t="s">
        <v>262</v>
      </c>
      <c r="L463" t="s">
        <v>67</v>
      </c>
      <c r="M463" t="s">
        <v>6</v>
      </c>
    </row>
    <row r="464" spans="1:13" x14ac:dyDescent="0.25">
      <c r="A464" s="3" t="s">
        <v>66</v>
      </c>
      <c r="B464" s="4">
        <v>7</v>
      </c>
      <c r="C464" s="4"/>
      <c r="D464" s="4" t="s">
        <v>67</v>
      </c>
      <c r="E464" s="4" t="s">
        <v>6</v>
      </c>
      <c r="F464">
        <f>COUNTIFS($D$2:D464,D464)</f>
        <v>7</v>
      </c>
      <c r="G464" t="str">
        <f t="shared" si="7"/>
        <v>3871C</v>
      </c>
      <c r="H464">
        <v>5.4669578000000003</v>
      </c>
      <c r="I464">
        <v>52.170856100000002</v>
      </c>
      <c r="J464" t="s">
        <v>412</v>
      </c>
      <c r="K464" t="s">
        <v>358</v>
      </c>
      <c r="L464" t="s">
        <v>67</v>
      </c>
      <c r="M464" t="s">
        <v>6</v>
      </c>
    </row>
    <row r="465" spans="1:13" x14ac:dyDescent="0.25">
      <c r="A465" s="3" t="s">
        <v>66</v>
      </c>
      <c r="B465" s="4">
        <v>8</v>
      </c>
      <c r="C465" s="4"/>
      <c r="D465" s="4" t="s">
        <v>67</v>
      </c>
      <c r="E465" s="4" t="s">
        <v>6</v>
      </c>
      <c r="F465">
        <f>COUNTIFS($D$2:D465,D465)</f>
        <v>8</v>
      </c>
      <c r="G465" t="str">
        <f t="shared" si="7"/>
        <v>3871C</v>
      </c>
      <c r="H465">
        <v>5.4674261</v>
      </c>
      <c r="I465">
        <v>52.171107499999998</v>
      </c>
      <c r="J465" t="s">
        <v>412</v>
      </c>
      <c r="K465" t="s">
        <v>263</v>
      </c>
      <c r="L465" t="s">
        <v>67</v>
      </c>
      <c r="M465" t="s">
        <v>6</v>
      </c>
    </row>
    <row r="466" spans="1:13" x14ac:dyDescent="0.25">
      <c r="A466" s="3" t="s">
        <v>66</v>
      </c>
      <c r="B466" s="4">
        <v>9</v>
      </c>
      <c r="C466" s="4"/>
      <c r="D466" s="4" t="s">
        <v>67</v>
      </c>
      <c r="E466" s="4" t="s">
        <v>6</v>
      </c>
      <c r="F466">
        <f>COUNTIFS($D$2:D466,D466)</f>
        <v>9</v>
      </c>
      <c r="G466" t="str">
        <f t="shared" si="7"/>
        <v>3871C</v>
      </c>
      <c r="H466">
        <v>5.4669578999999997</v>
      </c>
      <c r="I466">
        <v>52.170909999999999</v>
      </c>
      <c r="J466" t="s">
        <v>412</v>
      </c>
      <c r="K466" t="s">
        <v>382</v>
      </c>
      <c r="L466" t="s">
        <v>67</v>
      </c>
      <c r="M466" t="s">
        <v>6</v>
      </c>
    </row>
    <row r="467" spans="1:13" x14ac:dyDescent="0.25">
      <c r="A467" s="3" t="s">
        <v>66</v>
      </c>
      <c r="B467" s="4">
        <v>10</v>
      </c>
      <c r="C467" s="4"/>
      <c r="D467" s="4" t="s">
        <v>67</v>
      </c>
      <c r="E467" s="4" t="s">
        <v>6</v>
      </c>
      <c r="F467">
        <f>COUNTIFS($D$2:D467,D467)</f>
        <v>10</v>
      </c>
      <c r="G467" t="str">
        <f t="shared" si="7"/>
        <v>3871C</v>
      </c>
      <c r="H467">
        <v>5.4674114999999999</v>
      </c>
      <c r="I467">
        <v>52.171161400000003</v>
      </c>
      <c r="J467" t="s">
        <v>412</v>
      </c>
      <c r="K467" t="s">
        <v>264</v>
      </c>
      <c r="L467" t="s">
        <v>67</v>
      </c>
      <c r="M467" t="s">
        <v>6</v>
      </c>
    </row>
    <row r="468" spans="1:13" x14ac:dyDescent="0.25">
      <c r="A468" s="3" t="s">
        <v>66</v>
      </c>
      <c r="B468" s="4">
        <v>11</v>
      </c>
      <c r="C468" s="4"/>
      <c r="D468" s="4" t="s">
        <v>67</v>
      </c>
      <c r="E468" s="4" t="s">
        <v>6</v>
      </c>
      <c r="F468">
        <f>COUNTIFS($D$2:D468,D468)</f>
        <v>11</v>
      </c>
      <c r="G468" t="str">
        <f t="shared" si="7"/>
        <v>3871C</v>
      </c>
      <c r="H468">
        <v>5.4669433999999999</v>
      </c>
      <c r="I468">
        <v>52.170963999999998</v>
      </c>
      <c r="J468" t="s">
        <v>412</v>
      </c>
      <c r="K468" t="s">
        <v>391</v>
      </c>
      <c r="L468" t="s">
        <v>67</v>
      </c>
      <c r="M468" t="s">
        <v>6</v>
      </c>
    </row>
    <row r="469" spans="1:13" x14ac:dyDescent="0.25">
      <c r="A469" s="3" t="s">
        <v>66</v>
      </c>
      <c r="B469" s="4">
        <v>12</v>
      </c>
      <c r="C469" s="4"/>
      <c r="D469" s="4" t="s">
        <v>67</v>
      </c>
      <c r="E469" s="4" t="s">
        <v>6</v>
      </c>
      <c r="F469">
        <f>COUNTIFS($D$2:D469,D469)</f>
        <v>12</v>
      </c>
      <c r="G469" t="str">
        <f t="shared" si="7"/>
        <v>3871C</v>
      </c>
      <c r="H469">
        <v>5.4674116000000001</v>
      </c>
      <c r="I469">
        <v>52.1712153</v>
      </c>
      <c r="J469" t="s">
        <v>412</v>
      </c>
      <c r="K469" t="s">
        <v>265</v>
      </c>
      <c r="L469" t="s">
        <v>67</v>
      </c>
      <c r="M469" t="s">
        <v>6</v>
      </c>
    </row>
    <row r="470" spans="1:13" x14ac:dyDescent="0.25">
      <c r="A470" s="3" t="s">
        <v>66</v>
      </c>
      <c r="B470" s="4">
        <v>13</v>
      </c>
      <c r="C470" s="4"/>
      <c r="D470" s="4" t="s">
        <v>67</v>
      </c>
      <c r="E470" s="4" t="s">
        <v>6</v>
      </c>
      <c r="F470">
        <f>COUNTIFS($D$2:D470,D470)</f>
        <v>13</v>
      </c>
      <c r="G470" t="str">
        <f t="shared" si="7"/>
        <v>3871C</v>
      </c>
      <c r="H470">
        <v>5.4669289000000001</v>
      </c>
      <c r="I470">
        <v>52.171017900000002</v>
      </c>
      <c r="J470" t="s">
        <v>412</v>
      </c>
      <c r="K470" t="s">
        <v>359</v>
      </c>
      <c r="L470" t="s">
        <v>67</v>
      </c>
      <c r="M470" t="s">
        <v>6</v>
      </c>
    </row>
    <row r="471" spans="1:13" x14ac:dyDescent="0.25">
      <c r="A471" s="3" t="s">
        <v>66</v>
      </c>
      <c r="B471" s="4">
        <v>14</v>
      </c>
      <c r="C471" s="4"/>
      <c r="D471" s="4" t="s">
        <v>67</v>
      </c>
      <c r="E471" s="4" t="s">
        <v>6</v>
      </c>
      <c r="F471">
        <f>COUNTIFS($D$2:D471,D471)</f>
        <v>14</v>
      </c>
      <c r="G471" t="str">
        <f t="shared" si="7"/>
        <v>3871C</v>
      </c>
      <c r="H471">
        <v>5.4674117999999998</v>
      </c>
      <c r="I471">
        <v>52.171287200000002</v>
      </c>
      <c r="J471" t="s">
        <v>412</v>
      </c>
      <c r="K471" t="s">
        <v>266</v>
      </c>
      <c r="L471" t="s">
        <v>67</v>
      </c>
      <c r="M471" t="s">
        <v>6</v>
      </c>
    </row>
    <row r="472" spans="1:13" x14ac:dyDescent="0.25">
      <c r="A472" s="3" t="s">
        <v>68</v>
      </c>
      <c r="B472" s="4">
        <v>1</v>
      </c>
      <c r="C472" s="4"/>
      <c r="D472" s="4" t="s">
        <v>69</v>
      </c>
      <c r="E472" s="4" t="s">
        <v>6</v>
      </c>
      <c r="F472">
        <f>COUNTIFS($D$2:D472,D472)</f>
        <v>1</v>
      </c>
      <c r="G472" t="str">
        <f t="shared" si="7"/>
        <v>3871C</v>
      </c>
      <c r="H472">
        <v>5.4651208000000002</v>
      </c>
      <c r="I472">
        <v>52.1706942</v>
      </c>
      <c r="J472" t="s">
        <v>413</v>
      </c>
      <c r="K472" t="s">
        <v>355</v>
      </c>
      <c r="L472" t="s">
        <v>69</v>
      </c>
      <c r="M472" t="s">
        <v>6</v>
      </c>
    </row>
    <row r="473" spans="1:13" x14ac:dyDescent="0.25">
      <c r="A473" s="3" t="s">
        <v>68</v>
      </c>
      <c r="B473" s="4">
        <v>3</v>
      </c>
      <c r="C473" s="4"/>
      <c r="D473" s="4" t="s">
        <v>69</v>
      </c>
      <c r="E473" s="4" t="s">
        <v>6</v>
      </c>
      <c r="F473">
        <f>COUNTIFS($D$2:D473,D473)</f>
        <v>2</v>
      </c>
      <c r="G473" t="str">
        <f t="shared" si="7"/>
        <v>3871C</v>
      </c>
      <c r="H473">
        <v>5.4650572000000004</v>
      </c>
      <c r="I473">
        <v>52.170677599999998</v>
      </c>
      <c r="J473" t="s">
        <v>413</v>
      </c>
      <c r="K473" t="s">
        <v>356</v>
      </c>
      <c r="L473" t="s">
        <v>69</v>
      </c>
      <c r="M473" t="s">
        <v>6</v>
      </c>
    </row>
    <row r="474" spans="1:13" x14ac:dyDescent="0.25">
      <c r="A474" s="3" t="s">
        <v>68</v>
      </c>
      <c r="B474" s="4">
        <v>5</v>
      </c>
      <c r="C474" s="4"/>
      <c r="D474" s="4" t="s">
        <v>69</v>
      </c>
      <c r="E474" s="4" t="s">
        <v>6</v>
      </c>
      <c r="F474">
        <f>COUNTIFS($D$2:D474,D474)</f>
        <v>3</v>
      </c>
      <c r="G474" t="str">
        <f t="shared" si="7"/>
        <v>3871C</v>
      </c>
      <c r="H474">
        <v>5.4649694999999996</v>
      </c>
      <c r="I474">
        <v>52.1706687</v>
      </c>
      <c r="J474" t="s">
        <v>413</v>
      </c>
      <c r="K474" t="s">
        <v>357</v>
      </c>
      <c r="L474" t="s">
        <v>69</v>
      </c>
      <c r="M474" t="s">
        <v>6</v>
      </c>
    </row>
    <row r="475" spans="1:13" x14ac:dyDescent="0.25">
      <c r="A475" s="3" t="s">
        <v>68</v>
      </c>
      <c r="B475" s="4">
        <v>7</v>
      </c>
      <c r="C475" s="4"/>
      <c r="D475" s="4" t="s">
        <v>69</v>
      </c>
      <c r="E475" s="4" t="s">
        <v>6</v>
      </c>
      <c r="F475">
        <f>COUNTIFS($D$2:D475,D475)</f>
        <v>4</v>
      </c>
      <c r="G475" t="str">
        <f t="shared" si="7"/>
        <v>3871C</v>
      </c>
      <c r="H475">
        <v>5.4648817999999997</v>
      </c>
      <c r="I475">
        <v>52.170668800000001</v>
      </c>
      <c r="J475" t="s">
        <v>413</v>
      </c>
      <c r="K475" t="s">
        <v>358</v>
      </c>
      <c r="L475" t="s">
        <v>69</v>
      </c>
      <c r="M475" t="s">
        <v>6</v>
      </c>
    </row>
    <row r="476" spans="1:13" x14ac:dyDescent="0.25">
      <c r="A476" s="3" t="s">
        <v>68</v>
      </c>
      <c r="B476" s="4">
        <v>9</v>
      </c>
      <c r="C476" s="4"/>
      <c r="D476" s="4" t="s">
        <v>69</v>
      </c>
      <c r="E476" s="4" t="s">
        <v>6</v>
      </c>
      <c r="F476">
        <f>COUNTIFS($D$2:D476,D476)</f>
        <v>5</v>
      </c>
      <c r="G476" t="str">
        <f t="shared" si="7"/>
        <v>3871C</v>
      </c>
      <c r="H476">
        <v>5.4647940999999998</v>
      </c>
      <c r="I476">
        <v>52.170668800000001</v>
      </c>
      <c r="J476" t="s">
        <v>413</v>
      </c>
      <c r="K476" t="s">
        <v>382</v>
      </c>
      <c r="L476" t="s">
        <v>69</v>
      </c>
      <c r="M476" t="s">
        <v>6</v>
      </c>
    </row>
    <row r="477" spans="1:13" x14ac:dyDescent="0.25">
      <c r="A477" s="3" t="s">
        <v>68</v>
      </c>
      <c r="B477" s="4">
        <v>11</v>
      </c>
      <c r="C477" s="4"/>
      <c r="D477" s="4" t="s">
        <v>69</v>
      </c>
      <c r="E477" s="4" t="s">
        <v>6</v>
      </c>
      <c r="F477">
        <f>COUNTIFS($D$2:D477,D477)</f>
        <v>6</v>
      </c>
      <c r="G477" t="str">
        <f t="shared" si="7"/>
        <v>3871C</v>
      </c>
      <c r="H477">
        <v>5.4646917999999998</v>
      </c>
      <c r="I477">
        <v>52.170668900000003</v>
      </c>
      <c r="J477" t="s">
        <v>413</v>
      </c>
      <c r="K477" t="s">
        <v>391</v>
      </c>
      <c r="L477" t="s">
        <v>69</v>
      </c>
      <c r="M477" t="s">
        <v>6</v>
      </c>
    </row>
    <row r="478" spans="1:13" x14ac:dyDescent="0.25">
      <c r="A478" s="3" t="s">
        <v>68</v>
      </c>
      <c r="B478" s="4">
        <v>13</v>
      </c>
      <c r="C478" s="4"/>
      <c r="D478" s="4" t="s">
        <v>69</v>
      </c>
      <c r="E478" s="4" t="s">
        <v>6</v>
      </c>
      <c r="F478">
        <f>COUNTIFS($D$2:D478,D478)</f>
        <v>7</v>
      </c>
      <c r="G478" t="str">
        <f t="shared" si="7"/>
        <v>3871C</v>
      </c>
      <c r="H478">
        <v>5.4646040999999999</v>
      </c>
      <c r="I478">
        <v>52.170668900000003</v>
      </c>
      <c r="J478" t="s">
        <v>413</v>
      </c>
      <c r="K478" t="s">
        <v>359</v>
      </c>
      <c r="L478" t="s">
        <v>69</v>
      </c>
      <c r="M478" t="s">
        <v>6</v>
      </c>
    </row>
    <row r="479" spans="1:13" x14ac:dyDescent="0.25">
      <c r="A479" s="3" t="s">
        <v>68</v>
      </c>
      <c r="B479" s="4">
        <v>15</v>
      </c>
      <c r="C479" s="4"/>
      <c r="D479" s="4" t="s">
        <v>69</v>
      </c>
      <c r="E479" s="4" t="s">
        <v>6</v>
      </c>
      <c r="F479">
        <f>COUNTIFS($D$2:D479,D479)</f>
        <v>8</v>
      </c>
      <c r="G479" t="str">
        <f t="shared" si="7"/>
        <v>3871C</v>
      </c>
      <c r="H479">
        <v>5.4644724</v>
      </c>
      <c r="I479">
        <v>52.170662499999999</v>
      </c>
      <c r="J479" t="s">
        <v>413</v>
      </c>
      <c r="K479" t="s">
        <v>383</v>
      </c>
      <c r="L479" t="s">
        <v>69</v>
      </c>
      <c r="M479" t="s">
        <v>6</v>
      </c>
    </row>
    <row r="480" spans="1:13" x14ac:dyDescent="0.25">
      <c r="A480" s="3" t="s">
        <v>70</v>
      </c>
      <c r="B480" s="4">
        <v>1</v>
      </c>
      <c r="C480" s="4"/>
      <c r="D480" s="4" t="s">
        <v>71</v>
      </c>
      <c r="E480" s="4" t="s">
        <v>6</v>
      </c>
      <c r="F480">
        <f>COUNTIFS($D$2:D480,D480)</f>
        <v>1</v>
      </c>
      <c r="G480" t="str">
        <f t="shared" si="7"/>
        <v>3871C</v>
      </c>
      <c r="H480">
        <v>5.4645751999999996</v>
      </c>
      <c r="I480">
        <v>52.170893700000001</v>
      </c>
      <c r="J480" t="s">
        <v>414</v>
      </c>
      <c r="K480" t="s">
        <v>355</v>
      </c>
      <c r="L480" t="s">
        <v>71</v>
      </c>
      <c r="M480" t="s">
        <v>6</v>
      </c>
    </row>
    <row r="481" spans="1:13" x14ac:dyDescent="0.25">
      <c r="A481" s="3" t="s">
        <v>70</v>
      </c>
      <c r="B481" s="4">
        <v>2</v>
      </c>
      <c r="C481" s="4"/>
      <c r="D481" s="4" t="s">
        <v>71</v>
      </c>
      <c r="E481" s="4" t="s">
        <v>6</v>
      </c>
      <c r="F481">
        <f>COUNTIFS($D$2:D481,D481)</f>
        <v>2</v>
      </c>
      <c r="G481" t="str">
        <f t="shared" si="7"/>
        <v>3871C</v>
      </c>
      <c r="H481">
        <v>5.4645606999999998</v>
      </c>
      <c r="I481">
        <v>52.170956599999997</v>
      </c>
      <c r="J481" t="s">
        <v>414</v>
      </c>
      <c r="K481" t="s">
        <v>370</v>
      </c>
      <c r="L481" t="s">
        <v>71</v>
      </c>
      <c r="M481" t="s">
        <v>6</v>
      </c>
    </row>
    <row r="482" spans="1:13" x14ac:dyDescent="0.25">
      <c r="A482" s="3" t="s">
        <v>70</v>
      </c>
      <c r="B482" s="4">
        <v>3</v>
      </c>
      <c r="C482" s="4"/>
      <c r="D482" s="4" t="s">
        <v>71</v>
      </c>
      <c r="E482" s="4" t="s">
        <v>6</v>
      </c>
      <c r="F482">
        <f>COUNTIFS($D$2:D482,D482)</f>
        <v>3</v>
      </c>
      <c r="G482" t="str">
        <f t="shared" si="7"/>
        <v>3871C</v>
      </c>
      <c r="H482">
        <v>5.4645608000000001</v>
      </c>
      <c r="I482">
        <v>52.171001500000003</v>
      </c>
      <c r="J482" t="s">
        <v>414</v>
      </c>
      <c r="K482" t="s">
        <v>356</v>
      </c>
      <c r="L482" t="s">
        <v>71</v>
      </c>
      <c r="M482" t="s">
        <v>6</v>
      </c>
    </row>
    <row r="483" spans="1:13" x14ac:dyDescent="0.25">
      <c r="A483" s="3" t="s">
        <v>70</v>
      </c>
      <c r="B483" s="4">
        <v>4</v>
      </c>
      <c r="C483" s="4"/>
      <c r="D483" s="4" t="s">
        <v>71</v>
      </c>
      <c r="E483" s="4" t="s">
        <v>6</v>
      </c>
      <c r="F483">
        <f>COUNTIFS($D$2:D483,D483)</f>
        <v>4</v>
      </c>
      <c r="G483" t="str">
        <f t="shared" si="7"/>
        <v>3871C</v>
      </c>
      <c r="H483">
        <v>5.4645609000000004</v>
      </c>
      <c r="I483">
        <v>52.1710554</v>
      </c>
      <c r="J483" t="s">
        <v>414</v>
      </c>
      <c r="K483" t="s">
        <v>260</v>
      </c>
      <c r="L483" t="s">
        <v>71</v>
      </c>
      <c r="M483" t="s">
        <v>6</v>
      </c>
    </row>
    <row r="484" spans="1:13" x14ac:dyDescent="0.25">
      <c r="A484" s="3" t="s">
        <v>70</v>
      </c>
      <c r="B484" s="4">
        <v>5</v>
      </c>
      <c r="C484" s="4"/>
      <c r="D484" s="4" t="s">
        <v>71</v>
      </c>
      <c r="E484" s="4" t="s">
        <v>6</v>
      </c>
      <c r="F484">
        <f>COUNTIFS($D$2:D484,D484)</f>
        <v>5</v>
      </c>
      <c r="G484" t="str">
        <f t="shared" si="7"/>
        <v>3871C</v>
      </c>
      <c r="H484">
        <v>5.4645463999999997</v>
      </c>
      <c r="I484">
        <v>52.171109399999999</v>
      </c>
      <c r="J484" t="s">
        <v>414</v>
      </c>
      <c r="K484" t="s">
        <v>357</v>
      </c>
      <c r="L484" t="s">
        <v>71</v>
      </c>
      <c r="M484" t="s">
        <v>6</v>
      </c>
    </row>
    <row r="485" spans="1:13" x14ac:dyDescent="0.25">
      <c r="A485" s="3" t="s">
        <v>70</v>
      </c>
      <c r="B485" s="4">
        <v>6</v>
      </c>
      <c r="C485" s="4"/>
      <c r="D485" s="4" t="s">
        <v>71</v>
      </c>
      <c r="E485" s="4" t="s">
        <v>6</v>
      </c>
      <c r="F485">
        <f>COUNTIFS($D$2:D485,D485)</f>
        <v>6</v>
      </c>
      <c r="G485" t="str">
        <f t="shared" si="7"/>
        <v>3871C</v>
      </c>
      <c r="H485">
        <v>5.4645465</v>
      </c>
      <c r="I485">
        <v>52.171163300000003</v>
      </c>
      <c r="J485" t="s">
        <v>414</v>
      </c>
      <c r="K485" t="s">
        <v>262</v>
      </c>
      <c r="L485" t="s">
        <v>71</v>
      </c>
      <c r="M485" t="s">
        <v>6</v>
      </c>
    </row>
    <row r="486" spans="1:13" x14ac:dyDescent="0.25">
      <c r="A486" s="3" t="s">
        <v>72</v>
      </c>
      <c r="B486" s="4">
        <v>1</v>
      </c>
      <c r="C486" s="4"/>
      <c r="D486" s="4" t="s">
        <v>73</v>
      </c>
      <c r="E486" s="4" t="s">
        <v>6</v>
      </c>
      <c r="F486">
        <f>COUNTIFS($D$2:D486,D486)</f>
        <v>1</v>
      </c>
      <c r="G486" t="str">
        <f t="shared" si="7"/>
        <v>3871C</v>
      </c>
      <c r="H486">
        <v>5.4648826000000001</v>
      </c>
      <c r="I486">
        <v>52.171154100000003</v>
      </c>
      <c r="J486" t="s">
        <v>415</v>
      </c>
      <c r="K486" t="s">
        <v>355</v>
      </c>
      <c r="L486" t="s">
        <v>73</v>
      </c>
      <c r="M486" t="s">
        <v>6</v>
      </c>
    </row>
    <row r="487" spans="1:13" x14ac:dyDescent="0.25">
      <c r="A487" s="3" t="s">
        <v>72</v>
      </c>
      <c r="B487" s="4">
        <v>2</v>
      </c>
      <c r="C487" s="4"/>
      <c r="D487" s="4" t="s">
        <v>73</v>
      </c>
      <c r="E487" s="4" t="s">
        <v>6</v>
      </c>
      <c r="F487">
        <f>COUNTIFS($D$2:D487,D487)</f>
        <v>2</v>
      </c>
      <c r="G487" t="str">
        <f t="shared" si="7"/>
        <v>3871C</v>
      </c>
      <c r="H487">
        <v>5.4649704000000003</v>
      </c>
      <c r="I487">
        <v>52.171154000000001</v>
      </c>
      <c r="J487" t="s">
        <v>415</v>
      </c>
      <c r="K487" t="s">
        <v>370</v>
      </c>
      <c r="L487" t="s">
        <v>73</v>
      </c>
      <c r="M487" t="s">
        <v>6</v>
      </c>
    </row>
    <row r="488" spans="1:13" x14ac:dyDescent="0.25">
      <c r="A488" s="3" t="s">
        <v>72</v>
      </c>
      <c r="B488" s="4">
        <v>3</v>
      </c>
      <c r="C488" s="4"/>
      <c r="D488" s="4" t="s">
        <v>73</v>
      </c>
      <c r="E488" s="4" t="s">
        <v>6</v>
      </c>
      <c r="F488">
        <f>COUNTIFS($D$2:D488,D488)</f>
        <v>3</v>
      </c>
      <c r="G488" t="str">
        <f t="shared" si="7"/>
        <v>3871C</v>
      </c>
      <c r="H488">
        <v>5.4650581000000003</v>
      </c>
      <c r="I488">
        <v>52.171163</v>
      </c>
      <c r="J488" t="s">
        <v>415</v>
      </c>
      <c r="K488" t="s">
        <v>356</v>
      </c>
      <c r="L488" t="s">
        <v>73</v>
      </c>
      <c r="M488" t="s">
        <v>6</v>
      </c>
    </row>
    <row r="489" spans="1:13" x14ac:dyDescent="0.25">
      <c r="A489" s="3" t="s">
        <v>72</v>
      </c>
      <c r="B489" s="4">
        <v>5</v>
      </c>
      <c r="C489" s="4"/>
      <c r="D489" s="4" t="s">
        <v>73</v>
      </c>
      <c r="E489" s="4" t="s">
        <v>6</v>
      </c>
      <c r="F489">
        <f>COUNTIFS($D$2:D489,D489)</f>
        <v>4</v>
      </c>
      <c r="G489" t="str">
        <f t="shared" si="7"/>
        <v>3871C</v>
      </c>
      <c r="H489">
        <v>5.4652335000000001</v>
      </c>
      <c r="I489">
        <v>52.171162899999999</v>
      </c>
      <c r="J489" t="s">
        <v>415</v>
      </c>
      <c r="K489" t="s">
        <v>357</v>
      </c>
      <c r="L489" t="s">
        <v>73</v>
      </c>
      <c r="M489" t="s">
        <v>6</v>
      </c>
    </row>
    <row r="490" spans="1:13" x14ac:dyDescent="0.25">
      <c r="A490" s="3" t="s">
        <v>72</v>
      </c>
      <c r="B490" s="4">
        <v>6</v>
      </c>
      <c r="C490" s="4"/>
      <c r="D490" s="4" t="s">
        <v>73</v>
      </c>
      <c r="E490" s="4" t="s">
        <v>6</v>
      </c>
      <c r="F490">
        <f>COUNTIFS($D$2:D490,D490)</f>
        <v>5</v>
      </c>
      <c r="G490" t="str">
        <f t="shared" si="7"/>
        <v>3871C</v>
      </c>
      <c r="H490">
        <v>5.4653212</v>
      </c>
      <c r="I490">
        <v>52.171162799999998</v>
      </c>
      <c r="J490" t="s">
        <v>415</v>
      </c>
      <c r="K490" t="s">
        <v>262</v>
      </c>
      <c r="L490" t="s">
        <v>73</v>
      </c>
      <c r="M490" t="s">
        <v>6</v>
      </c>
    </row>
    <row r="491" spans="1:13" x14ac:dyDescent="0.25">
      <c r="A491" s="3" t="s">
        <v>72</v>
      </c>
      <c r="B491" s="4">
        <v>7</v>
      </c>
      <c r="C491" s="4"/>
      <c r="D491" s="4" t="s">
        <v>73</v>
      </c>
      <c r="E491" s="4" t="s">
        <v>6</v>
      </c>
      <c r="F491">
        <f>COUNTIFS($D$2:D491,D491)</f>
        <v>6</v>
      </c>
      <c r="G491" t="str">
        <f t="shared" si="7"/>
        <v>3871C</v>
      </c>
      <c r="H491">
        <v>5.4654088999999999</v>
      </c>
      <c r="I491">
        <v>52.171171700000002</v>
      </c>
      <c r="J491" t="s">
        <v>415</v>
      </c>
      <c r="K491" t="s">
        <v>358</v>
      </c>
      <c r="L491" t="s">
        <v>73</v>
      </c>
      <c r="M491" t="s">
        <v>6</v>
      </c>
    </row>
    <row r="492" spans="1:13" x14ac:dyDescent="0.25">
      <c r="A492" s="3" t="s">
        <v>72</v>
      </c>
      <c r="B492" s="4">
        <v>8</v>
      </c>
      <c r="C492" s="4"/>
      <c r="D492" s="4" t="s">
        <v>73</v>
      </c>
      <c r="E492" s="4" t="s">
        <v>6</v>
      </c>
      <c r="F492">
        <f>COUNTIFS($D$2:D492,D492)</f>
        <v>7</v>
      </c>
      <c r="G492" t="str">
        <f t="shared" si="7"/>
        <v>3871C</v>
      </c>
      <c r="H492">
        <v>5.4654819999999997</v>
      </c>
      <c r="I492">
        <v>52.171171700000002</v>
      </c>
      <c r="J492" t="s">
        <v>415</v>
      </c>
      <c r="K492" t="s">
        <v>263</v>
      </c>
      <c r="L492" t="s">
        <v>73</v>
      </c>
      <c r="M492" t="s">
        <v>6</v>
      </c>
    </row>
    <row r="493" spans="1:13" x14ac:dyDescent="0.25">
      <c r="A493" s="3" t="s">
        <v>74</v>
      </c>
      <c r="B493" s="4">
        <v>7</v>
      </c>
      <c r="C493" s="4"/>
      <c r="D493" s="4" t="s">
        <v>75</v>
      </c>
      <c r="E493" s="4" t="s">
        <v>6</v>
      </c>
      <c r="F493">
        <f>COUNTIFS($D$2:D493,D493)</f>
        <v>1</v>
      </c>
      <c r="G493" t="str">
        <f t="shared" si="7"/>
        <v>3871C</v>
      </c>
      <c r="H493">
        <v>5.4663351999999996</v>
      </c>
      <c r="I493">
        <v>52.174173099999997</v>
      </c>
      <c r="J493" t="s">
        <v>416</v>
      </c>
      <c r="K493" t="s">
        <v>358</v>
      </c>
      <c r="L493" t="s">
        <v>75</v>
      </c>
      <c r="M493" t="s">
        <v>6</v>
      </c>
    </row>
    <row r="494" spans="1:13" x14ac:dyDescent="0.25">
      <c r="A494" s="3" t="s">
        <v>74</v>
      </c>
      <c r="B494" s="4">
        <v>11</v>
      </c>
      <c r="C494" s="4"/>
      <c r="D494" s="4" t="s">
        <v>75</v>
      </c>
      <c r="E494" s="4" t="s">
        <v>6</v>
      </c>
      <c r="F494">
        <f>COUNTIFS($D$2:D494,D494)</f>
        <v>2</v>
      </c>
      <c r="G494" t="str">
        <f t="shared" si="7"/>
        <v>3871C</v>
      </c>
      <c r="H494">
        <v>5.4671101000000002</v>
      </c>
      <c r="I494">
        <v>52.174244399999999</v>
      </c>
      <c r="J494" t="s">
        <v>416</v>
      </c>
      <c r="K494" t="s">
        <v>391</v>
      </c>
      <c r="L494" t="s">
        <v>75</v>
      </c>
      <c r="M494" t="s">
        <v>6</v>
      </c>
    </row>
    <row r="495" spans="1:13" x14ac:dyDescent="0.25">
      <c r="A495" s="3" t="s">
        <v>74</v>
      </c>
      <c r="B495" s="4">
        <v>13</v>
      </c>
      <c r="C495" s="4"/>
      <c r="D495" s="4" t="s">
        <v>75</v>
      </c>
      <c r="E495" s="4" t="s">
        <v>6</v>
      </c>
      <c r="F495">
        <f>COUNTIFS($D$2:D495,D495)</f>
        <v>3</v>
      </c>
      <c r="G495" t="str">
        <f t="shared" si="7"/>
        <v>3871C</v>
      </c>
      <c r="H495">
        <v>5.4671246</v>
      </c>
      <c r="I495">
        <v>52.1741995</v>
      </c>
      <c r="J495" t="s">
        <v>416</v>
      </c>
      <c r="K495" t="s">
        <v>359</v>
      </c>
      <c r="L495" t="s">
        <v>75</v>
      </c>
      <c r="M495" t="s">
        <v>6</v>
      </c>
    </row>
    <row r="496" spans="1:13" x14ac:dyDescent="0.25">
      <c r="A496" s="3" t="s">
        <v>74</v>
      </c>
      <c r="B496" s="4">
        <v>15</v>
      </c>
      <c r="C496" s="4"/>
      <c r="D496" s="4" t="s">
        <v>75</v>
      </c>
      <c r="E496" s="4" t="s">
        <v>6</v>
      </c>
      <c r="F496">
        <f>COUNTIFS($D$2:D496,D496)</f>
        <v>4</v>
      </c>
      <c r="G496" t="str">
        <f t="shared" si="7"/>
        <v>3871C</v>
      </c>
      <c r="H496">
        <v>5.4671390999999998</v>
      </c>
      <c r="I496">
        <v>52.1741186</v>
      </c>
      <c r="J496" t="s">
        <v>416</v>
      </c>
      <c r="K496" t="s">
        <v>383</v>
      </c>
      <c r="L496" t="s">
        <v>75</v>
      </c>
      <c r="M496" t="s">
        <v>6</v>
      </c>
    </row>
    <row r="497" spans="1:13" x14ac:dyDescent="0.25">
      <c r="A497" s="3" t="s">
        <v>74</v>
      </c>
      <c r="B497" s="4">
        <v>17</v>
      </c>
      <c r="C497" s="4"/>
      <c r="D497" s="4" t="s">
        <v>75</v>
      </c>
      <c r="E497" s="4" t="s">
        <v>6</v>
      </c>
      <c r="F497">
        <f>COUNTIFS($D$2:D497,D497)</f>
        <v>5</v>
      </c>
      <c r="G497" t="str">
        <f t="shared" si="7"/>
        <v>3871C</v>
      </c>
      <c r="H497">
        <v>5.4671390000000004</v>
      </c>
      <c r="I497">
        <v>52.174064700000002</v>
      </c>
      <c r="J497" t="s">
        <v>416</v>
      </c>
      <c r="K497" t="s">
        <v>360</v>
      </c>
      <c r="L497" t="s">
        <v>75</v>
      </c>
      <c r="M497" t="s">
        <v>6</v>
      </c>
    </row>
    <row r="498" spans="1:13" x14ac:dyDescent="0.25">
      <c r="A498" s="3" t="s">
        <v>74</v>
      </c>
      <c r="B498" s="4">
        <v>21</v>
      </c>
      <c r="C498" s="4"/>
      <c r="D498" s="4" t="s">
        <v>75</v>
      </c>
      <c r="E498" s="4" t="s">
        <v>6</v>
      </c>
      <c r="F498">
        <f>COUNTIFS($D$2:D498,D498)</f>
        <v>6</v>
      </c>
      <c r="G498" t="str">
        <f t="shared" si="7"/>
        <v>3871C</v>
      </c>
      <c r="H498">
        <v>5.4671387999999999</v>
      </c>
      <c r="I498">
        <v>52.173965799999998</v>
      </c>
      <c r="J498" t="s">
        <v>416</v>
      </c>
      <c r="K498" t="s">
        <v>362</v>
      </c>
      <c r="L498" t="s">
        <v>75</v>
      </c>
      <c r="M498" t="s">
        <v>6</v>
      </c>
    </row>
    <row r="499" spans="1:13" x14ac:dyDescent="0.25">
      <c r="A499" s="3" t="s">
        <v>74</v>
      </c>
      <c r="B499" s="4">
        <v>23</v>
      </c>
      <c r="C499" s="4"/>
      <c r="D499" s="4" t="s">
        <v>75</v>
      </c>
      <c r="E499" s="4" t="s">
        <v>6</v>
      </c>
      <c r="F499">
        <f>COUNTIFS($D$2:D499,D499)</f>
        <v>7</v>
      </c>
      <c r="G499" t="str">
        <f t="shared" si="7"/>
        <v>3871C</v>
      </c>
      <c r="H499">
        <v>5.4671533999999999</v>
      </c>
      <c r="I499">
        <v>52.1739119</v>
      </c>
      <c r="J499" t="s">
        <v>416</v>
      </c>
      <c r="K499" t="s">
        <v>384</v>
      </c>
      <c r="L499" t="s">
        <v>75</v>
      </c>
      <c r="M499" t="s">
        <v>6</v>
      </c>
    </row>
    <row r="500" spans="1:13" x14ac:dyDescent="0.25">
      <c r="A500" s="3" t="s">
        <v>74</v>
      </c>
      <c r="B500" s="4">
        <v>25</v>
      </c>
      <c r="C500" s="4"/>
      <c r="D500" s="4" t="s">
        <v>75</v>
      </c>
      <c r="E500" s="4" t="s">
        <v>6</v>
      </c>
      <c r="F500">
        <f>COUNTIFS($D$2:D500,D500)</f>
        <v>8</v>
      </c>
      <c r="G500" t="str">
        <f t="shared" si="7"/>
        <v>3871C</v>
      </c>
      <c r="H500">
        <v>5.4671532999999997</v>
      </c>
      <c r="I500">
        <v>52.173848900000003</v>
      </c>
      <c r="J500" t="s">
        <v>416</v>
      </c>
      <c r="K500" t="s">
        <v>385</v>
      </c>
      <c r="L500" t="s">
        <v>75</v>
      </c>
      <c r="M500" t="s">
        <v>6</v>
      </c>
    </row>
    <row r="501" spans="1:13" x14ac:dyDescent="0.25">
      <c r="A501" s="3" t="s">
        <v>74</v>
      </c>
      <c r="B501" s="4">
        <v>29</v>
      </c>
      <c r="C501" s="4"/>
      <c r="D501" s="4" t="s">
        <v>75</v>
      </c>
      <c r="E501" s="4" t="s">
        <v>6</v>
      </c>
      <c r="F501">
        <f>COUNTIFS($D$2:D501,D501)</f>
        <v>9</v>
      </c>
      <c r="G501" t="str">
        <f t="shared" si="7"/>
        <v>3871C</v>
      </c>
      <c r="H501">
        <v>5.4671814000000003</v>
      </c>
      <c r="I501">
        <v>52.173255699999999</v>
      </c>
      <c r="J501" t="s">
        <v>416</v>
      </c>
      <c r="K501" t="s">
        <v>364</v>
      </c>
      <c r="L501" t="s">
        <v>75</v>
      </c>
      <c r="M501" t="s">
        <v>6</v>
      </c>
    </row>
    <row r="502" spans="1:13" x14ac:dyDescent="0.25">
      <c r="A502" s="3" t="s">
        <v>74</v>
      </c>
      <c r="B502" s="4">
        <v>31</v>
      </c>
      <c r="C502" s="4"/>
      <c r="D502" s="4" t="s">
        <v>75</v>
      </c>
      <c r="E502" s="4" t="s">
        <v>6</v>
      </c>
      <c r="F502">
        <f>COUNTIFS($D$2:D502,D502)</f>
        <v>10</v>
      </c>
      <c r="G502" t="str">
        <f t="shared" si="7"/>
        <v>3871C</v>
      </c>
      <c r="H502">
        <v>5.4671813</v>
      </c>
      <c r="I502">
        <v>52.173192800000002</v>
      </c>
      <c r="J502" t="s">
        <v>416</v>
      </c>
      <c r="K502" t="s">
        <v>323</v>
      </c>
      <c r="L502" t="s">
        <v>75</v>
      </c>
      <c r="M502" t="s">
        <v>6</v>
      </c>
    </row>
    <row r="503" spans="1:13" x14ac:dyDescent="0.25">
      <c r="A503" s="3" t="s">
        <v>74</v>
      </c>
      <c r="B503" s="4">
        <v>33</v>
      </c>
      <c r="C503" s="4"/>
      <c r="D503" s="4" t="s">
        <v>75</v>
      </c>
      <c r="E503" s="4" t="s">
        <v>6</v>
      </c>
      <c r="F503">
        <f>COUNTIFS($D$2:D503,D503)</f>
        <v>11</v>
      </c>
      <c r="G503" t="str">
        <f t="shared" si="7"/>
        <v>3871C</v>
      </c>
      <c r="H503">
        <v>5.4671811999999997</v>
      </c>
      <c r="I503">
        <v>52.173129899999999</v>
      </c>
      <c r="J503" t="s">
        <v>416</v>
      </c>
      <c r="K503" t="s">
        <v>365</v>
      </c>
      <c r="L503" t="s">
        <v>75</v>
      </c>
      <c r="M503" t="s">
        <v>6</v>
      </c>
    </row>
    <row r="504" spans="1:13" x14ac:dyDescent="0.25">
      <c r="A504" s="3" t="s">
        <v>74</v>
      </c>
      <c r="B504" s="4">
        <v>35</v>
      </c>
      <c r="C504" s="4"/>
      <c r="D504" s="4" t="s">
        <v>75</v>
      </c>
      <c r="E504" s="4" t="s">
        <v>6</v>
      </c>
      <c r="F504">
        <f>COUNTIFS($D$2:D504,D504)</f>
        <v>12</v>
      </c>
      <c r="G504" t="str">
        <f t="shared" si="7"/>
        <v>3871C</v>
      </c>
      <c r="H504">
        <v>5.4671957000000004</v>
      </c>
      <c r="I504">
        <v>52.173076000000002</v>
      </c>
      <c r="J504" t="s">
        <v>416</v>
      </c>
      <c r="K504" t="s">
        <v>366</v>
      </c>
      <c r="L504" t="s">
        <v>75</v>
      </c>
      <c r="M504" t="s">
        <v>6</v>
      </c>
    </row>
    <row r="505" spans="1:13" x14ac:dyDescent="0.25">
      <c r="A505" s="3" t="s">
        <v>74</v>
      </c>
      <c r="B505" s="4">
        <v>37</v>
      </c>
      <c r="C505" s="4"/>
      <c r="D505" s="4" t="s">
        <v>75</v>
      </c>
      <c r="E505" s="4" t="s">
        <v>6</v>
      </c>
      <c r="F505">
        <f>COUNTIFS($D$2:D505,D505)</f>
        <v>13</v>
      </c>
      <c r="G505" t="str">
        <f t="shared" si="7"/>
        <v>3871C</v>
      </c>
      <c r="H505">
        <v>5.4671810000000001</v>
      </c>
      <c r="I505">
        <v>52.173022000000003</v>
      </c>
      <c r="J505" t="s">
        <v>416</v>
      </c>
      <c r="K505" t="s">
        <v>367</v>
      </c>
      <c r="L505" t="s">
        <v>75</v>
      </c>
      <c r="M505" t="s">
        <v>6</v>
      </c>
    </row>
    <row r="506" spans="1:13" x14ac:dyDescent="0.25">
      <c r="A506" s="3" t="s">
        <v>74</v>
      </c>
      <c r="B506" s="4">
        <v>39</v>
      </c>
      <c r="C506" s="4"/>
      <c r="D506" s="4" t="s">
        <v>75</v>
      </c>
      <c r="E506" s="4" t="s">
        <v>6</v>
      </c>
      <c r="F506">
        <f>COUNTIFS($D$2:D506,D506)</f>
        <v>14</v>
      </c>
      <c r="G506" t="str">
        <f t="shared" si="7"/>
        <v>3871C</v>
      </c>
      <c r="H506">
        <v>5.4671954999999999</v>
      </c>
      <c r="I506">
        <v>52.172968099999999</v>
      </c>
      <c r="J506" t="s">
        <v>416</v>
      </c>
      <c r="K506" t="s">
        <v>368</v>
      </c>
      <c r="L506" t="s">
        <v>75</v>
      </c>
      <c r="M506" t="s">
        <v>6</v>
      </c>
    </row>
    <row r="507" spans="1:13" x14ac:dyDescent="0.25">
      <c r="A507" s="3" t="s">
        <v>74</v>
      </c>
      <c r="B507" s="4">
        <v>41</v>
      </c>
      <c r="C507" s="4"/>
      <c r="D507" s="4" t="s">
        <v>75</v>
      </c>
      <c r="E507" s="4" t="s">
        <v>6</v>
      </c>
      <c r="F507">
        <f>COUNTIFS($D$2:D507,D507)</f>
        <v>15</v>
      </c>
      <c r="G507" t="str">
        <f t="shared" si="7"/>
        <v>3871C</v>
      </c>
      <c r="H507">
        <v>5.4672099999999997</v>
      </c>
      <c r="I507">
        <v>52.172905200000002</v>
      </c>
      <c r="J507" t="s">
        <v>416</v>
      </c>
      <c r="K507" t="s">
        <v>325</v>
      </c>
      <c r="L507" t="s">
        <v>75</v>
      </c>
      <c r="M507" t="s">
        <v>6</v>
      </c>
    </row>
    <row r="508" spans="1:13" x14ac:dyDescent="0.25">
      <c r="A508" s="3" t="s">
        <v>74</v>
      </c>
      <c r="B508" s="4">
        <v>43</v>
      </c>
      <c r="C508" s="4"/>
      <c r="D508" s="4" t="s">
        <v>75</v>
      </c>
      <c r="E508" s="4" t="s">
        <v>6</v>
      </c>
      <c r="F508">
        <f>COUNTIFS($D$2:D508,D508)</f>
        <v>16</v>
      </c>
      <c r="G508" t="str">
        <f t="shared" si="7"/>
        <v>3871C</v>
      </c>
      <c r="H508">
        <v>5.4672099000000003</v>
      </c>
      <c r="I508">
        <v>52.172842299999999</v>
      </c>
      <c r="J508" t="s">
        <v>416</v>
      </c>
      <c r="K508" t="s">
        <v>326</v>
      </c>
      <c r="L508" t="s">
        <v>75</v>
      </c>
      <c r="M508" t="s">
        <v>6</v>
      </c>
    </row>
    <row r="509" spans="1:13" x14ac:dyDescent="0.25">
      <c r="A509" s="3" t="s">
        <v>76</v>
      </c>
      <c r="B509" s="4">
        <v>45</v>
      </c>
      <c r="C509" s="4"/>
      <c r="D509" s="4" t="s">
        <v>75</v>
      </c>
      <c r="E509" s="4" t="s">
        <v>6</v>
      </c>
      <c r="F509">
        <f>COUNTIFS($D$2:D509,D509)</f>
        <v>17</v>
      </c>
      <c r="G509" t="str">
        <f t="shared" si="7"/>
        <v>3871C</v>
      </c>
      <c r="H509">
        <v>5.4672527999999998</v>
      </c>
      <c r="I509">
        <v>52.172294000000001</v>
      </c>
      <c r="J509" t="s">
        <v>417</v>
      </c>
      <c r="K509" t="s">
        <v>327</v>
      </c>
      <c r="L509" t="s">
        <v>75</v>
      </c>
      <c r="M509" t="s">
        <v>6</v>
      </c>
    </row>
    <row r="510" spans="1:13" x14ac:dyDescent="0.25">
      <c r="A510" s="3" t="s">
        <v>76</v>
      </c>
      <c r="B510" s="4">
        <v>47</v>
      </c>
      <c r="C510" s="4"/>
      <c r="D510" s="4" t="s">
        <v>75</v>
      </c>
      <c r="E510" s="4" t="s">
        <v>6</v>
      </c>
      <c r="F510">
        <f>COUNTIFS($D$2:D510,D510)</f>
        <v>18</v>
      </c>
      <c r="G510" t="str">
        <f t="shared" si="7"/>
        <v>3871C</v>
      </c>
      <c r="H510">
        <v>5.4672672999999996</v>
      </c>
      <c r="I510">
        <v>52.172240000000002</v>
      </c>
      <c r="J510" t="s">
        <v>417</v>
      </c>
      <c r="K510" t="s">
        <v>328</v>
      </c>
      <c r="L510" t="s">
        <v>75</v>
      </c>
      <c r="M510" t="s">
        <v>6</v>
      </c>
    </row>
    <row r="511" spans="1:13" x14ac:dyDescent="0.25">
      <c r="A511" s="3" t="s">
        <v>76</v>
      </c>
      <c r="B511" s="4">
        <v>49</v>
      </c>
      <c r="C511" s="4"/>
      <c r="D511" s="4" t="s">
        <v>75</v>
      </c>
      <c r="E511" s="4" t="s">
        <v>6</v>
      </c>
      <c r="F511">
        <f>COUNTIFS($D$2:D511,D511)</f>
        <v>19</v>
      </c>
      <c r="G511" t="str">
        <f t="shared" si="7"/>
        <v>3871C</v>
      </c>
      <c r="H511">
        <v>5.4672672000000002</v>
      </c>
      <c r="I511">
        <v>52.172177099999999</v>
      </c>
      <c r="J511" t="s">
        <v>417</v>
      </c>
      <c r="K511" t="s">
        <v>329</v>
      </c>
      <c r="L511" t="s">
        <v>75</v>
      </c>
      <c r="M511" t="s">
        <v>6</v>
      </c>
    </row>
    <row r="512" spans="1:13" x14ac:dyDescent="0.25">
      <c r="A512" s="3" t="s">
        <v>76</v>
      </c>
      <c r="B512" s="4">
        <v>51</v>
      </c>
      <c r="C512" s="4"/>
      <c r="D512" s="4" t="s">
        <v>75</v>
      </c>
      <c r="E512" s="4" t="s">
        <v>6</v>
      </c>
      <c r="F512">
        <f>COUNTIFS($D$2:D512,D512)</f>
        <v>20</v>
      </c>
      <c r="G512" t="str">
        <f t="shared" si="7"/>
        <v>3871C</v>
      </c>
      <c r="H512">
        <v>5.4672670999999999</v>
      </c>
      <c r="I512">
        <v>52.172123200000001</v>
      </c>
      <c r="J512" t="s">
        <v>417</v>
      </c>
      <c r="K512" t="s">
        <v>331</v>
      </c>
      <c r="L512" t="s">
        <v>75</v>
      </c>
      <c r="M512" t="s">
        <v>6</v>
      </c>
    </row>
    <row r="513" spans="1:13" x14ac:dyDescent="0.25">
      <c r="A513" s="3" t="s">
        <v>76</v>
      </c>
      <c r="B513" s="4">
        <v>53</v>
      </c>
      <c r="C513" s="4"/>
      <c r="D513" s="4" t="s">
        <v>75</v>
      </c>
      <c r="E513" s="4" t="s">
        <v>6</v>
      </c>
      <c r="F513">
        <f>COUNTIFS($D$2:D513,D513)</f>
        <v>21</v>
      </c>
      <c r="G513" t="str">
        <f t="shared" si="7"/>
        <v>3871C</v>
      </c>
      <c r="H513">
        <v>5.4672669999999997</v>
      </c>
      <c r="I513">
        <v>52.172069299999997</v>
      </c>
      <c r="J513" t="s">
        <v>417</v>
      </c>
      <c r="K513" t="s">
        <v>332</v>
      </c>
      <c r="L513" t="s">
        <v>75</v>
      </c>
      <c r="M513" t="s">
        <v>6</v>
      </c>
    </row>
    <row r="514" spans="1:13" x14ac:dyDescent="0.25">
      <c r="A514" s="3" t="s">
        <v>76</v>
      </c>
      <c r="B514" s="4">
        <v>55</v>
      </c>
      <c r="C514" s="4"/>
      <c r="D514" s="4" t="s">
        <v>75</v>
      </c>
      <c r="E514" s="4" t="s">
        <v>6</v>
      </c>
      <c r="F514">
        <f>COUNTIFS($D$2:D514,D514)</f>
        <v>22</v>
      </c>
      <c r="G514" t="str">
        <f t="shared" ref="G514:G577" si="8">LEFT(A514,5)</f>
        <v>3871C</v>
      </c>
      <c r="H514">
        <v>5.4672669000000003</v>
      </c>
      <c r="I514">
        <v>52.172006400000001</v>
      </c>
      <c r="J514" t="s">
        <v>417</v>
      </c>
      <c r="K514" t="s">
        <v>333</v>
      </c>
      <c r="L514" t="s">
        <v>75</v>
      </c>
      <c r="M514" t="s">
        <v>6</v>
      </c>
    </row>
    <row r="515" spans="1:13" x14ac:dyDescent="0.25">
      <c r="A515" s="3" t="s">
        <v>76</v>
      </c>
      <c r="B515" s="4">
        <v>57</v>
      </c>
      <c r="C515" s="4"/>
      <c r="D515" s="4" t="s">
        <v>75</v>
      </c>
      <c r="E515" s="4" t="s">
        <v>6</v>
      </c>
      <c r="F515">
        <f>COUNTIFS($D$2:D515,D515)</f>
        <v>23</v>
      </c>
      <c r="G515" t="str">
        <f t="shared" si="8"/>
        <v>3871C</v>
      </c>
      <c r="H515">
        <v>5.4672814000000001</v>
      </c>
      <c r="I515">
        <v>52.171943400000004</v>
      </c>
      <c r="J515" t="s">
        <v>417</v>
      </c>
      <c r="K515" t="s">
        <v>334</v>
      </c>
      <c r="L515" t="s">
        <v>75</v>
      </c>
      <c r="M515" t="s">
        <v>6</v>
      </c>
    </row>
    <row r="516" spans="1:13" x14ac:dyDescent="0.25">
      <c r="A516" s="3" t="s">
        <v>76</v>
      </c>
      <c r="B516" s="4">
        <v>59</v>
      </c>
      <c r="C516" s="4"/>
      <c r="D516" s="4" t="s">
        <v>75</v>
      </c>
      <c r="E516" s="4" t="s">
        <v>6</v>
      </c>
      <c r="F516">
        <f>COUNTIFS($D$2:D516,D516)</f>
        <v>24</v>
      </c>
      <c r="G516" t="str">
        <f t="shared" si="8"/>
        <v>3871C</v>
      </c>
      <c r="H516">
        <v>5.4672812999999998</v>
      </c>
      <c r="I516">
        <v>52.171907500000003</v>
      </c>
      <c r="J516" t="s">
        <v>417</v>
      </c>
      <c r="K516" t="s">
        <v>335</v>
      </c>
      <c r="L516" t="s">
        <v>75</v>
      </c>
      <c r="M516" t="s">
        <v>6</v>
      </c>
    </row>
    <row r="517" spans="1:13" x14ac:dyDescent="0.25">
      <c r="A517" s="3" t="s">
        <v>76</v>
      </c>
      <c r="B517" s="4">
        <v>79</v>
      </c>
      <c r="C517" s="4"/>
      <c r="D517" s="4" t="s">
        <v>75</v>
      </c>
      <c r="E517" s="4" t="s">
        <v>6</v>
      </c>
      <c r="F517">
        <f>COUNTIFS($D$2:D517,D517)</f>
        <v>25</v>
      </c>
      <c r="G517" t="str">
        <f t="shared" si="8"/>
        <v>3871C</v>
      </c>
      <c r="H517">
        <v>5.4659504999999999</v>
      </c>
      <c r="I517">
        <v>52.171602800000002</v>
      </c>
      <c r="J517" t="s">
        <v>417</v>
      </c>
      <c r="K517" t="s">
        <v>343</v>
      </c>
      <c r="L517" t="s">
        <v>75</v>
      </c>
      <c r="M517" t="s">
        <v>6</v>
      </c>
    </row>
    <row r="518" spans="1:13" x14ac:dyDescent="0.25">
      <c r="A518" s="3" t="s">
        <v>77</v>
      </c>
      <c r="B518" s="4">
        <v>2</v>
      </c>
      <c r="C518" s="4"/>
      <c r="D518" s="4" t="s">
        <v>75</v>
      </c>
      <c r="E518" s="4" t="s">
        <v>6</v>
      </c>
      <c r="F518">
        <f>COUNTIFS($D$2:D518,D518)</f>
        <v>26</v>
      </c>
      <c r="G518" t="str">
        <f t="shared" si="8"/>
        <v>3871C</v>
      </c>
      <c r="H518">
        <v>5.4662030000000001</v>
      </c>
      <c r="I518">
        <v>52.173840599999998</v>
      </c>
      <c r="J518" t="s">
        <v>418</v>
      </c>
      <c r="K518" t="s">
        <v>370</v>
      </c>
      <c r="L518" t="s">
        <v>75</v>
      </c>
      <c r="M518" t="s">
        <v>6</v>
      </c>
    </row>
    <row r="519" spans="1:13" x14ac:dyDescent="0.25">
      <c r="A519" s="3" t="s">
        <v>77</v>
      </c>
      <c r="B519" s="4">
        <v>4</v>
      </c>
      <c r="C519" s="4"/>
      <c r="D519" s="4" t="s">
        <v>75</v>
      </c>
      <c r="E519" s="4" t="s">
        <v>6</v>
      </c>
      <c r="F519">
        <f>COUNTIFS($D$2:D519,D519)</f>
        <v>27</v>
      </c>
      <c r="G519" t="str">
        <f t="shared" si="8"/>
        <v>3871C</v>
      </c>
      <c r="H519">
        <v>5.4662907000000001</v>
      </c>
      <c r="I519">
        <v>52.173840499999997</v>
      </c>
      <c r="J519" t="s">
        <v>418</v>
      </c>
      <c r="K519" t="s">
        <v>260</v>
      </c>
      <c r="L519" t="s">
        <v>75</v>
      </c>
      <c r="M519" t="s">
        <v>6</v>
      </c>
    </row>
    <row r="520" spans="1:13" x14ac:dyDescent="0.25">
      <c r="A520" s="3" t="s">
        <v>77</v>
      </c>
      <c r="B520" s="4">
        <v>6</v>
      </c>
      <c r="C520" s="4"/>
      <c r="D520" s="4" t="s">
        <v>75</v>
      </c>
      <c r="E520" s="4" t="s">
        <v>6</v>
      </c>
      <c r="F520">
        <f>COUNTIFS($D$2:D520,D520)</f>
        <v>28</v>
      </c>
      <c r="G520" t="str">
        <f t="shared" si="8"/>
        <v>3871C</v>
      </c>
      <c r="H520">
        <v>5.4663784</v>
      </c>
      <c r="I520">
        <v>52.173840499999997</v>
      </c>
      <c r="J520" t="s">
        <v>418</v>
      </c>
      <c r="K520" t="s">
        <v>262</v>
      </c>
      <c r="L520" t="s">
        <v>75</v>
      </c>
      <c r="M520" t="s">
        <v>6</v>
      </c>
    </row>
    <row r="521" spans="1:13" x14ac:dyDescent="0.25">
      <c r="A521" s="3" t="s">
        <v>77</v>
      </c>
      <c r="B521" s="4">
        <v>8</v>
      </c>
      <c r="C521" s="4"/>
      <c r="D521" s="4" t="s">
        <v>75</v>
      </c>
      <c r="E521" s="4" t="s">
        <v>6</v>
      </c>
      <c r="F521">
        <f>COUNTIFS($D$2:D521,D521)</f>
        <v>29</v>
      </c>
      <c r="G521" t="str">
        <f t="shared" si="8"/>
        <v>3871C</v>
      </c>
      <c r="H521">
        <v>5.4664808000000003</v>
      </c>
      <c r="I521">
        <v>52.173840400000003</v>
      </c>
      <c r="J521" t="s">
        <v>418</v>
      </c>
      <c r="K521" t="s">
        <v>263</v>
      </c>
      <c r="L521" t="s">
        <v>75</v>
      </c>
      <c r="M521" t="s">
        <v>6</v>
      </c>
    </row>
    <row r="522" spans="1:13" x14ac:dyDescent="0.25">
      <c r="A522" s="3" t="s">
        <v>77</v>
      </c>
      <c r="B522" s="4">
        <v>10</v>
      </c>
      <c r="C522" s="4"/>
      <c r="D522" s="4" t="s">
        <v>75</v>
      </c>
      <c r="E522" s="4" t="s">
        <v>6</v>
      </c>
      <c r="F522">
        <f>COUNTIFS($D$2:D522,D522)</f>
        <v>30</v>
      </c>
      <c r="G522" t="str">
        <f t="shared" si="8"/>
        <v>3871C</v>
      </c>
      <c r="H522">
        <v>5.4665539000000001</v>
      </c>
      <c r="I522">
        <v>52.173840400000003</v>
      </c>
      <c r="J522" t="s">
        <v>418</v>
      </c>
      <c r="K522" t="s">
        <v>264</v>
      </c>
      <c r="L522" t="s">
        <v>75</v>
      </c>
      <c r="M522" t="s">
        <v>6</v>
      </c>
    </row>
    <row r="523" spans="1:13" x14ac:dyDescent="0.25">
      <c r="A523" s="3" t="s">
        <v>77</v>
      </c>
      <c r="B523" s="4">
        <v>12</v>
      </c>
      <c r="C523" s="4"/>
      <c r="D523" s="4" t="s">
        <v>75</v>
      </c>
      <c r="E523" s="4" t="s">
        <v>6</v>
      </c>
      <c r="F523">
        <f>COUNTIFS($D$2:D523,D523)</f>
        <v>31</v>
      </c>
      <c r="G523" t="str">
        <f t="shared" si="8"/>
        <v>3871C</v>
      </c>
      <c r="H523">
        <v>5.4666562000000001</v>
      </c>
      <c r="I523">
        <v>52.173849300000001</v>
      </c>
      <c r="J523" t="s">
        <v>418</v>
      </c>
      <c r="K523" t="s">
        <v>265</v>
      </c>
      <c r="L523" t="s">
        <v>75</v>
      </c>
      <c r="M523" t="s">
        <v>6</v>
      </c>
    </row>
    <row r="524" spans="1:13" x14ac:dyDescent="0.25">
      <c r="A524" s="3" t="s">
        <v>77</v>
      </c>
      <c r="B524" s="4">
        <v>14</v>
      </c>
      <c r="C524" s="4"/>
      <c r="D524" s="4" t="s">
        <v>75</v>
      </c>
      <c r="E524" s="4" t="s">
        <v>6</v>
      </c>
      <c r="F524">
        <f>COUNTIFS($D$2:D524,D524)</f>
        <v>32</v>
      </c>
      <c r="G524" t="str">
        <f t="shared" si="8"/>
        <v>3871C</v>
      </c>
      <c r="H524">
        <v>5.4667439</v>
      </c>
      <c r="I524">
        <v>52.173849199999999</v>
      </c>
      <c r="J524" t="s">
        <v>418</v>
      </c>
      <c r="K524" t="s">
        <v>266</v>
      </c>
      <c r="L524" t="s">
        <v>75</v>
      </c>
      <c r="M524" t="s">
        <v>6</v>
      </c>
    </row>
    <row r="525" spans="1:13" x14ac:dyDescent="0.25">
      <c r="A525" s="3" t="s">
        <v>77</v>
      </c>
      <c r="B525" s="4">
        <v>16</v>
      </c>
      <c r="C525" s="4"/>
      <c r="D525" s="4" t="s">
        <v>75</v>
      </c>
      <c r="E525" s="4" t="s">
        <v>6</v>
      </c>
      <c r="F525">
        <f>COUNTIFS($D$2:D525,D525)</f>
        <v>33</v>
      </c>
      <c r="G525" t="str">
        <f t="shared" si="8"/>
        <v>3871C</v>
      </c>
      <c r="H525">
        <v>5.4667434999999998</v>
      </c>
      <c r="I525">
        <v>52.173624500000003</v>
      </c>
      <c r="J525" t="s">
        <v>418</v>
      </c>
      <c r="K525" t="s">
        <v>371</v>
      </c>
      <c r="L525" t="s">
        <v>75</v>
      </c>
      <c r="M525" t="s">
        <v>6</v>
      </c>
    </row>
    <row r="526" spans="1:13" x14ac:dyDescent="0.25">
      <c r="A526" s="3" t="s">
        <v>77</v>
      </c>
      <c r="B526" s="4">
        <v>18</v>
      </c>
      <c r="C526" s="4"/>
      <c r="D526" s="4" t="s">
        <v>75</v>
      </c>
      <c r="E526" s="4" t="s">
        <v>6</v>
      </c>
      <c r="F526">
        <f>COUNTIFS($D$2:D526,D526)</f>
        <v>34</v>
      </c>
      <c r="G526" t="str">
        <f t="shared" si="8"/>
        <v>3871C</v>
      </c>
      <c r="H526">
        <v>5.4667434000000004</v>
      </c>
      <c r="I526">
        <v>52.173570599999998</v>
      </c>
      <c r="J526" t="s">
        <v>418</v>
      </c>
      <c r="K526" t="s">
        <v>267</v>
      </c>
      <c r="L526" t="s">
        <v>75</v>
      </c>
      <c r="M526" t="s">
        <v>6</v>
      </c>
    </row>
    <row r="527" spans="1:13" x14ac:dyDescent="0.25">
      <c r="A527" s="3" t="s">
        <v>77</v>
      </c>
      <c r="B527" s="4">
        <v>20</v>
      </c>
      <c r="C527" s="4"/>
      <c r="D527" s="4" t="s">
        <v>75</v>
      </c>
      <c r="E527" s="4" t="s">
        <v>6</v>
      </c>
      <c r="F527">
        <f>COUNTIFS($D$2:D527,D527)</f>
        <v>35</v>
      </c>
      <c r="G527" t="str">
        <f t="shared" si="8"/>
        <v>3871C</v>
      </c>
      <c r="H527">
        <v>5.4667579999999996</v>
      </c>
      <c r="I527">
        <v>52.1735167</v>
      </c>
      <c r="J527" t="s">
        <v>418</v>
      </c>
      <c r="K527" t="s">
        <v>372</v>
      </c>
      <c r="L527" t="s">
        <v>75</v>
      </c>
      <c r="M527" t="s">
        <v>6</v>
      </c>
    </row>
    <row r="528" spans="1:13" x14ac:dyDescent="0.25">
      <c r="A528" s="3" t="s">
        <v>77</v>
      </c>
      <c r="B528" s="4">
        <v>22</v>
      </c>
      <c r="C528" s="4"/>
      <c r="D528" s="4" t="s">
        <v>75</v>
      </c>
      <c r="E528" s="4" t="s">
        <v>6</v>
      </c>
      <c r="F528">
        <f>COUNTIFS($D$2:D528,D528)</f>
        <v>36</v>
      </c>
      <c r="G528" t="str">
        <f t="shared" si="8"/>
        <v>3871C</v>
      </c>
      <c r="H528">
        <v>5.4667577999999999</v>
      </c>
      <c r="I528">
        <v>52.173453700000003</v>
      </c>
      <c r="J528" t="s">
        <v>418</v>
      </c>
      <c r="K528" t="s">
        <v>269</v>
      </c>
      <c r="L528" t="s">
        <v>75</v>
      </c>
      <c r="M528" t="s">
        <v>6</v>
      </c>
    </row>
    <row r="529" spans="1:13" x14ac:dyDescent="0.25">
      <c r="A529" s="3" t="s">
        <v>77</v>
      </c>
      <c r="B529" s="4">
        <v>24</v>
      </c>
      <c r="C529" s="4"/>
      <c r="D529" s="4" t="s">
        <v>75</v>
      </c>
      <c r="E529" s="4" t="s">
        <v>6</v>
      </c>
      <c r="F529">
        <f>COUNTIFS($D$2:D529,D529)</f>
        <v>37</v>
      </c>
      <c r="G529" t="str">
        <f t="shared" si="8"/>
        <v>3871C</v>
      </c>
      <c r="H529">
        <v>5.4667577999999999</v>
      </c>
      <c r="I529">
        <v>52.173408799999997</v>
      </c>
      <c r="J529" t="s">
        <v>418</v>
      </c>
      <c r="K529" t="s">
        <v>270</v>
      </c>
      <c r="L529" t="s">
        <v>75</v>
      </c>
      <c r="M529" t="s">
        <v>6</v>
      </c>
    </row>
    <row r="530" spans="1:13" x14ac:dyDescent="0.25">
      <c r="A530" s="3" t="s">
        <v>77</v>
      </c>
      <c r="B530" s="4">
        <v>26</v>
      </c>
      <c r="C530" s="4"/>
      <c r="D530" s="4" t="s">
        <v>75</v>
      </c>
      <c r="E530" s="4" t="s">
        <v>6</v>
      </c>
      <c r="F530">
        <f>COUNTIFS($D$2:D530,D530)</f>
        <v>38</v>
      </c>
      <c r="G530" t="str">
        <f t="shared" si="8"/>
        <v>3871C</v>
      </c>
      <c r="H530">
        <v>5.4667722999999997</v>
      </c>
      <c r="I530">
        <v>52.173345900000001</v>
      </c>
      <c r="J530" t="s">
        <v>418</v>
      </c>
      <c r="K530" t="s">
        <v>271</v>
      </c>
      <c r="L530" t="s">
        <v>75</v>
      </c>
      <c r="M530" t="s">
        <v>6</v>
      </c>
    </row>
    <row r="531" spans="1:13" x14ac:dyDescent="0.25">
      <c r="A531" s="3" t="s">
        <v>77</v>
      </c>
      <c r="B531" s="4">
        <v>28</v>
      </c>
      <c r="C531" s="4"/>
      <c r="D531" s="4" t="s">
        <v>75</v>
      </c>
      <c r="E531" s="4" t="s">
        <v>6</v>
      </c>
      <c r="F531">
        <f>COUNTIFS($D$2:D531,D531)</f>
        <v>39</v>
      </c>
      <c r="G531" t="str">
        <f t="shared" si="8"/>
        <v>3871C</v>
      </c>
      <c r="H531">
        <v>5.4667722000000003</v>
      </c>
      <c r="I531">
        <v>52.173292000000004</v>
      </c>
      <c r="J531" t="s">
        <v>418</v>
      </c>
      <c r="K531" t="s">
        <v>272</v>
      </c>
      <c r="L531" t="s">
        <v>75</v>
      </c>
      <c r="M531" t="s">
        <v>6</v>
      </c>
    </row>
    <row r="532" spans="1:13" x14ac:dyDescent="0.25">
      <c r="A532" s="3" t="s">
        <v>77</v>
      </c>
      <c r="B532" s="4">
        <v>30</v>
      </c>
      <c r="C532" s="4"/>
      <c r="D532" s="4" t="s">
        <v>75</v>
      </c>
      <c r="E532" s="4" t="s">
        <v>6</v>
      </c>
      <c r="F532">
        <f>COUNTIFS($D$2:D532,D532)</f>
        <v>40</v>
      </c>
      <c r="G532" t="str">
        <f t="shared" si="8"/>
        <v>3871C</v>
      </c>
      <c r="H532">
        <v>5.4667867000000001</v>
      </c>
      <c r="I532">
        <v>52.173237999999998</v>
      </c>
      <c r="J532" t="s">
        <v>418</v>
      </c>
      <c r="K532" t="s">
        <v>373</v>
      </c>
      <c r="L532" t="s">
        <v>75</v>
      </c>
      <c r="M532" t="s">
        <v>6</v>
      </c>
    </row>
    <row r="533" spans="1:13" x14ac:dyDescent="0.25">
      <c r="A533" s="3" t="s">
        <v>77</v>
      </c>
      <c r="B533" s="4">
        <v>32</v>
      </c>
      <c r="C533" s="4"/>
      <c r="D533" s="4" t="s">
        <v>75</v>
      </c>
      <c r="E533" s="4" t="s">
        <v>6</v>
      </c>
      <c r="F533">
        <f>COUNTIFS($D$2:D533,D533)</f>
        <v>41</v>
      </c>
      <c r="G533" t="str">
        <f t="shared" si="8"/>
        <v>3871C</v>
      </c>
      <c r="H533">
        <v>5.4667865999999998</v>
      </c>
      <c r="I533">
        <v>52.173175100000002</v>
      </c>
      <c r="J533" t="s">
        <v>418</v>
      </c>
      <c r="K533" t="s">
        <v>273</v>
      </c>
      <c r="L533" t="s">
        <v>75</v>
      </c>
      <c r="M533" t="s">
        <v>6</v>
      </c>
    </row>
    <row r="534" spans="1:13" x14ac:dyDescent="0.25">
      <c r="A534" s="3" t="s">
        <v>77</v>
      </c>
      <c r="B534" s="4">
        <v>34</v>
      </c>
      <c r="C534" s="4"/>
      <c r="D534" s="4" t="s">
        <v>75</v>
      </c>
      <c r="E534" s="4" t="s">
        <v>6</v>
      </c>
      <c r="F534">
        <f>COUNTIFS($D$2:D534,D534)</f>
        <v>42</v>
      </c>
      <c r="G534" t="str">
        <f t="shared" si="8"/>
        <v>3871C</v>
      </c>
      <c r="H534">
        <v>5.4667865000000004</v>
      </c>
      <c r="I534">
        <v>52.173121199999997</v>
      </c>
      <c r="J534" t="s">
        <v>418</v>
      </c>
      <c r="K534" t="s">
        <v>274</v>
      </c>
      <c r="L534" t="s">
        <v>75</v>
      </c>
      <c r="M534" t="s">
        <v>6</v>
      </c>
    </row>
    <row r="535" spans="1:13" x14ac:dyDescent="0.25">
      <c r="A535" s="3" t="s">
        <v>77</v>
      </c>
      <c r="B535" s="4">
        <v>36</v>
      </c>
      <c r="C535" s="4"/>
      <c r="D535" s="4" t="s">
        <v>75</v>
      </c>
      <c r="E535" s="4" t="s">
        <v>6</v>
      </c>
      <c r="F535">
        <f>COUNTIFS($D$2:D535,D535)</f>
        <v>43</v>
      </c>
      <c r="G535" t="str">
        <f t="shared" si="8"/>
        <v>3871C</v>
      </c>
      <c r="H535">
        <v>5.4667864000000002</v>
      </c>
      <c r="I535">
        <v>52.1730673</v>
      </c>
      <c r="J535" t="s">
        <v>418</v>
      </c>
      <c r="K535" t="s">
        <v>275</v>
      </c>
      <c r="L535" t="s">
        <v>75</v>
      </c>
      <c r="M535" t="s">
        <v>6</v>
      </c>
    </row>
    <row r="536" spans="1:13" x14ac:dyDescent="0.25">
      <c r="A536" s="3" t="s">
        <v>78</v>
      </c>
      <c r="B536" s="4">
        <v>38</v>
      </c>
      <c r="C536" s="4"/>
      <c r="D536" s="4" t="s">
        <v>75</v>
      </c>
      <c r="E536" s="4" t="s">
        <v>6</v>
      </c>
      <c r="F536">
        <f>COUNTIFS($D$2:D536,D536)</f>
        <v>44</v>
      </c>
      <c r="G536" t="str">
        <f t="shared" si="8"/>
        <v>3871C</v>
      </c>
      <c r="H536">
        <v>5.4668438999999998</v>
      </c>
      <c r="I536">
        <v>52.1725189</v>
      </c>
      <c r="J536" t="s">
        <v>419</v>
      </c>
      <c r="K536" t="s">
        <v>374</v>
      </c>
      <c r="L536" t="s">
        <v>75</v>
      </c>
      <c r="M536" t="s">
        <v>6</v>
      </c>
    </row>
    <row r="537" spans="1:13" x14ac:dyDescent="0.25">
      <c r="A537" s="3" t="s">
        <v>78</v>
      </c>
      <c r="B537" s="4">
        <v>40</v>
      </c>
      <c r="C537" s="4"/>
      <c r="D537" s="4" t="s">
        <v>75</v>
      </c>
      <c r="E537" s="4" t="s">
        <v>6</v>
      </c>
      <c r="F537">
        <f>COUNTIFS($D$2:D537,D537)</f>
        <v>45</v>
      </c>
      <c r="G537" t="str">
        <f t="shared" si="8"/>
        <v>3871C</v>
      </c>
      <c r="H537">
        <v>5.4668438000000004</v>
      </c>
      <c r="I537">
        <v>52.172465000000003</v>
      </c>
      <c r="J537" t="s">
        <v>419</v>
      </c>
      <c r="K537" t="s">
        <v>276</v>
      </c>
      <c r="L537" t="s">
        <v>75</v>
      </c>
      <c r="M537" t="s">
        <v>6</v>
      </c>
    </row>
    <row r="538" spans="1:13" x14ac:dyDescent="0.25">
      <c r="A538" s="3" t="s">
        <v>78</v>
      </c>
      <c r="B538" s="4">
        <v>42</v>
      </c>
      <c r="C538" s="4"/>
      <c r="D538" s="4" t="s">
        <v>75</v>
      </c>
      <c r="E538" s="4" t="s">
        <v>6</v>
      </c>
      <c r="F538">
        <f>COUNTIFS($D$2:D538,D538)</f>
        <v>46</v>
      </c>
      <c r="G538" t="str">
        <f t="shared" si="8"/>
        <v>3871C</v>
      </c>
      <c r="H538">
        <v>5.4668437000000001</v>
      </c>
      <c r="I538">
        <v>52.172411099999998</v>
      </c>
      <c r="J538" t="s">
        <v>419</v>
      </c>
      <c r="K538" t="s">
        <v>376</v>
      </c>
      <c r="L538" t="s">
        <v>75</v>
      </c>
      <c r="M538" t="s">
        <v>6</v>
      </c>
    </row>
    <row r="539" spans="1:13" x14ac:dyDescent="0.25">
      <c r="A539" s="3" t="s">
        <v>78</v>
      </c>
      <c r="B539" s="4">
        <v>44</v>
      </c>
      <c r="C539" s="4"/>
      <c r="D539" s="4" t="s">
        <v>75</v>
      </c>
      <c r="E539" s="4" t="s">
        <v>6</v>
      </c>
      <c r="F539">
        <f>COUNTIFS($D$2:D539,D539)</f>
        <v>47</v>
      </c>
      <c r="G539" t="str">
        <f t="shared" si="8"/>
        <v>3871C</v>
      </c>
      <c r="H539">
        <v>5.4668435999999998</v>
      </c>
      <c r="I539">
        <v>52.172339200000003</v>
      </c>
      <c r="J539" t="s">
        <v>419</v>
      </c>
      <c r="K539" t="s">
        <v>377</v>
      </c>
      <c r="L539" t="s">
        <v>75</v>
      </c>
      <c r="M539" t="s">
        <v>6</v>
      </c>
    </row>
    <row r="540" spans="1:13" x14ac:dyDescent="0.25">
      <c r="A540" s="3" t="s">
        <v>78</v>
      </c>
      <c r="B540" s="4">
        <v>46</v>
      </c>
      <c r="C540" s="4"/>
      <c r="D540" s="4" t="s">
        <v>75</v>
      </c>
      <c r="E540" s="4" t="s">
        <v>6</v>
      </c>
      <c r="F540">
        <f>COUNTIFS($D$2:D540,D540)</f>
        <v>48</v>
      </c>
      <c r="G540" t="str">
        <f t="shared" si="8"/>
        <v>3871C</v>
      </c>
      <c r="H540">
        <v>5.4668435000000004</v>
      </c>
      <c r="I540">
        <v>52.172285299999999</v>
      </c>
      <c r="J540" t="s">
        <v>419</v>
      </c>
      <c r="K540" t="s">
        <v>277</v>
      </c>
      <c r="L540" t="s">
        <v>75</v>
      </c>
      <c r="M540" t="s">
        <v>6</v>
      </c>
    </row>
    <row r="541" spans="1:13" x14ac:dyDescent="0.25">
      <c r="A541" s="3" t="s">
        <v>78</v>
      </c>
      <c r="B541" s="4">
        <v>48</v>
      </c>
      <c r="C541" s="4"/>
      <c r="D541" s="4" t="s">
        <v>75</v>
      </c>
      <c r="E541" s="4" t="s">
        <v>6</v>
      </c>
      <c r="F541">
        <f>COUNTIFS($D$2:D541,D541)</f>
        <v>49</v>
      </c>
      <c r="G541" t="str">
        <f t="shared" si="8"/>
        <v>3871C</v>
      </c>
      <c r="H541">
        <v>5.4668434000000001</v>
      </c>
      <c r="I541">
        <v>52.1722313</v>
      </c>
      <c r="J541" t="s">
        <v>419</v>
      </c>
      <c r="K541" t="s">
        <v>278</v>
      </c>
      <c r="L541" t="s">
        <v>75</v>
      </c>
      <c r="M541" t="s">
        <v>6</v>
      </c>
    </row>
    <row r="542" spans="1:13" x14ac:dyDescent="0.25">
      <c r="A542" s="3" t="s">
        <v>78</v>
      </c>
      <c r="B542" s="4">
        <v>50</v>
      </c>
      <c r="C542" s="4"/>
      <c r="D542" s="4" t="s">
        <v>75</v>
      </c>
      <c r="E542" s="4" t="s">
        <v>6</v>
      </c>
      <c r="F542">
        <f>COUNTIFS($D$2:D542,D542)</f>
        <v>50</v>
      </c>
      <c r="G542" t="str">
        <f t="shared" si="8"/>
        <v>3871C</v>
      </c>
      <c r="H542">
        <v>5.4668578999999999</v>
      </c>
      <c r="I542">
        <v>52.172177400000002</v>
      </c>
      <c r="J542" t="s">
        <v>419</v>
      </c>
      <c r="K542" t="s">
        <v>280</v>
      </c>
      <c r="L542" t="s">
        <v>75</v>
      </c>
      <c r="M542" t="s">
        <v>6</v>
      </c>
    </row>
    <row r="543" spans="1:13" x14ac:dyDescent="0.25">
      <c r="A543" s="3" t="s">
        <v>78</v>
      </c>
      <c r="B543" s="4">
        <v>52</v>
      </c>
      <c r="C543" s="4"/>
      <c r="D543" s="4" t="s">
        <v>75</v>
      </c>
      <c r="E543" s="4" t="s">
        <v>6</v>
      </c>
      <c r="F543">
        <f>COUNTIFS($D$2:D543,D543)</f>
        <v>51</v>
      </c>
      <c r="G543" t="str">
        <f t="shared" si="8"/>
        <v>3871C</v>
      </c>
      <c r="H543">
        <v>5.4668577999999997</v>
      </c>
      <c r="I543">
        <v>52.172114499999999</v>
      </c>
      <c r="J543" t="s">
        <v>419</v>
      </c>
      <c r="K543" t="s">
        <v>281</v>
      </c>
      <c r="L543" t="s">
        <v>75</v>
      </c>
      <c r="M543" t="s">
        <v>6</v>
      </c>
    </row>
    <row r="544" spans="1:13" x14ac:dyDescent="0.25">
      <c r="A544" s="3" t="s">
        <v>78</v>
      </c>
      <c r="B544" s="4">
        <v>54</v>
      </c>
      <c r="C544" s="4"/>
      <c r="D544" s="4" t="s">
        <v>75</v>
      </c>
      <c r="E544" s="4" t="s">
        <v>6</v>
      </c>
      <c r="F544">
        <f>COUNTIFS($D$2:D544,D544)</f>
        <v>52</v>
      </c>
      <c r="G544" t="str">
        <f t="shared" si="8"/>
        <v>3871C</v>
      </c>
      <c r="H544">
        <v>5.4668577000000003</v>
      </c>
      <c r="I544">
        <v>52.172060600000002</v>
      </c>
      <c r="J544" t="s">
        <v>419</v>
      </c>
      <c r="K544" t="s">
        <v>282</v>
      </c>
      <c r="L544" t="s">
        <v>75</v>
      </c>
      <c r="M544" t="s">
        <v>6</v>
      </c>
    </row>
    <row r="545" spans="1:13" x14ac:dyDescent="0.25">
      <c r="A545" s="3" t="s">
        <v>78</v>
      </c>
      <c r="B545" s="4">
        <v>56</v>
      </c>
      <c r="C545" s="4"/>
      <c r="D545" s="4" t="s">
        <v>75</v>
      </c>
      <c r="E545" s="4" t="s">
        <v>6</v>
      </c>
      <c r="F545">
        <f>COUNTIFS($D$2:D545,D545)</f>
        <v>53</v>
      </c>
      <c r="G545" t="str">
        <f t="shared" si="8"/>
        <v>3871C</v>
      </c>
      <c r="H545">
        <v>5.4668576</v>
      </c>
      <c r="I545">
        <v>52.172006600000003</v>
      </c>
      <c r="J545" t="s">
        <v>419</v>
      </c>
      <c r="K545" t="s">
        <v>283</v>
      </c>
      <c r="L545" t="s">
        <v>75</v>
      </c>
      <c r="M545" t="s">
        <v>6</v>
      </c>
    </row>
    <row r="546" spans="1:13" x14ac:dyDescent="0.25">
      <c r="A546" s="3" t="s">
        <v>78</v>
      </c>
      <c r="B546" s="4">
        <v>58</v>
      </c>
      <c r="C546" s="4"/>
      <c r="D546" s="4" t="s">
        <v>75</v>
      </c>
      <c r="E546" s="4" t="s">
        <v>6</v>
      </c>
      <c r="F546">
        <f>COUNTIFS($D$2:D546,D546)</f>
        <v>54</v>
      </c>
      <c r="G546" t="str">
        <f t="shared" si="8"/>
        <v>3871C</v>
      </c>
      <c r="H546">
        <v>5.4668574999999997</v>
      </c>
      <c r="I546">
        <v>52.171961699999997</v>
      </c>
      <c r="J546" t="s">
        <v>419</v>
      </c>
      <c r="K546" t="s">
        <v>284</v>
      </c>
      <c r="L546" t="s">
        <v>75</v>
      </c>
      <c r="M546" t="s">
        <v>6</v>
      </c>
    </row>
    <row r="547" spans="1:13" x14ac:dyDescent="0.25">
      <c r="A547" s="3" t="s">
        <v>78</v>
      </c>
      <c r="B547" s="4">
        <v>60</v>
      </c>
      <c r="C547" s="4"/>
      <c r="D547" s="4" t="s">
        <v>75</v>
      </c>
      <c r="E547" s="4" t="s">
        <v>6</v>
      </c>
      <c r="F547">
        <f>COUNTIFS($D$2:D547,D547)</f>
        <v>55</v>
      </c>
      <c r="G547" t="str">
        <f t="shared" si="8"/>
        <v>3871C</v>
      </c>
      <c r="H547">
        <v>5.4664919999999997</v>
      </c>
      <c r="I547">
        <v>52.171944000000003</v>
      </c>
      <c r="J547" t="s">
        <v>419</v>
      </c>
      <c r="K547" t="s">
        <v>285</v>
      </c>
      <c r="L547" t="s">
        <v>75</v>
      </c>
      <c r="M547" t="s">
        <v>6</v>
      </c>
    </row>
    <row r="548" spans="1:13" x14ac:dyDescent="0.25">
      <c r="A548" s="3" t="s">
        <v>78</v>
      </c>
      <c r="B548" s="4">
        <v>62</v>
      </c>
      <c r="C548" s="4"/>
      <c r="D548" s="4" t="s">
        <v>75</v>
      </c>
      <c r="E548" s="4" t="s">
        <v>6</v>
      </c>
      <c r="F548">
        <f>COUNTIFS($D$2:D548,D548)</f>
        <v>56</v>
      </c>
      <c r="G548" t="str">
        <f t="shared" si="8"/>
        <v>3871C</v>
      </c>
      <c r="H548">
        <v>5.4663896999999997</v>
      </c>
      <c r="I548">
        <v>52.171934999999998</v>
      </c>
      <c r="J548" t="s">
        <v>419</v>
      </c>
      <c r="K548" t="s">
        <v>286</v>
      </c>
      <c r="L548" t="s">
        <v>75</v>
      </c>
      <c r="M548" t="s">
        <v>6</v>
      </c>
    </row>
    <row r="549" spans="1:13" x14ac:dyDescent="0.25">
      <c r="A549" s="3" t="s">
        <v>78</v>
      </c>
      <c r="B549" s="4">
        <v>64</v>
      </c>
      <c r="C549" s="4"/>
      <c r="D549" s="4" t="s">
        <v>75</v>
      </c>
      <c r="E549" s="4" t="s">
        <v>6</v>
      </c>
      <c r="F549">
        <f>COUNTIFS($D$2:D549,D549)</f>
        <v>57</v>
      </c>
      <c r="G549" t="str">
        <f t="shared" si="8"/>
        <v>3871C</v>
      </c>
      <c r="H549">
        <v>5.4663019999999998</v>
      </c>
      <c r="I549">
        <v>52.171935099999999</v>
      </c>
      <c r="J549" t="s">
        <v>419</v>
      </c>
      <c r="K549" t="s">
        <v>287</v>
      </c>
      <c r="L549" t="s">
        <v>75</v>
      </c>
      <c r="M549" t="s">
        <v>6</v>
      </c>
    </row>
    <row r="550" spans="1:13" x14ac:dyDescent="0.25">
      <c r="A550" s="3" t="s">
        <v>78</v>
      </c>
      <c r="B550" s="4">
        <v>66</v>
      </c>
      <c r="C550" s="4"/>
      <c r="D550" s="4" t="s">
        <v>75</v>
      </c>
      <c r="E550" s="4" t="s">
        <v>6</v>
      </c>
      <c r="F550">
        <f>COUNTIFS($D$2:D550,D550)</f>
        <v>58</v>
      </c>
      <c r="G550" t="str">
        <f t="shared" si="8"/>
        <v>3871C</v>
      </c>
      <c r="H550">
        <v>5.4662142999999999</v>
      </c>
      <c r="I550">
        <v>52.1719352</v>
      </c>
      <c r="J550" t="s">
        <v>419</v>
      </c>
      <c r="K550" t="s">
        <v>288</v>
      </c>
      <c r="L550" t="s">
        <v>75</v>
      </c>
      <c r="M550" t="s">
        <v>6</v>
      </c>
    </row>
    <row r="551" spans="1:13" x14ac:dyDescent="0.25">
      <c r="A551" s="3" t="s">
        <v>78</v>
      </c>
      <c r="B551" s="4">
        <v>68</v>
      </c>
      <c r="C551" s="4"/>
      <c r="D551" s="4" t="s">
        <v>75</v>
      </c>
      <c r="E551" s="4" t="s">
        <v>6</v>
      </c>
      <c r="F551">
        <f>COUNTIFS($D$2:D551,D551)</f>
        <v>59</v>
      </c>
      <c r="G551" t="str">
        <f t="shared" si="8"/>
        <v>3871C</v>
      </c>
      <c r="H551">
        <v>5.4661118999999996</v>
      </c>
      <c r="I551">
        <v>52.1719352</v>
      </c>
      <c r="J551" t="s">
        <v>419</v>
      </c>
      <c r="K551" t="s">
        <v>289</v>
      </c>
      <c r="L551" t="s">
        <v>75</v>
      </c>
      <c r="M551" t="s">
        <v>6</v>
      </c>
    </row>
    <row r="552" spans="1:13" x14ac:dyDescent="0.25">
      <c r="A552" s="3" t="s">
        <v>78</v>
      </c>
      <c r="B552" s="4">
        <v>70</v>
      </c>
      <c r="C552" s="4"/>
      <c r="D552" s="4" t="s">
        <v>75</v>
      </c>
      <c r="E552" s="4" t="s">
        <v>6</v>
      </c>
      <c r="F552">
        <f>COUNTIFS($D$2:D552,D552)</f>
        <v>60</v>
      </c>
      <c r="G552" t="str">
        <f t="shared" si="8"/>
        <v>3871C</v>
      </c>
      <c r="H552">
        <v>5.4660241999999997</v>
      </c>
      <c r="I552">
        <v>52.171926300000003</v>
      </c>
      <c r="J552" t="s">
        <v>419</v>
      </c>
      <c r="K552" t="s">
        <v>290</v>
      </c>
      <c r="L552" t="s">
        <v>75</v>
      </c>
      <c r="M552" t="s">
        <v>6</v>
      </c>
    </row>
    <row r="553" spans="1:13" x14ac:dyDescent="0.25">
      <c r="A553" s="3" t="s">
        <v>78</v>
      </c>
      <c r="B553" s="4">
        <v>72</v>
      </c>
      <c r="C553" s="4"/>
      <c r="D553" s="4" t="s">
        <v>75</v>
      </c>
      <c r="E553" s="4" t="s">
        <v>6</v>
      </c>
      <c r="F553">
        <f>COUNTIFS($D$2:D553,D553)</f>
        <v>61</v>
      </c>
      <c r="G553" t="str">
        <f t="shared" si="8"/>
        <v>3871C</v>
      </c>
      <c r="H553">
        <v>5.4659364999999998</v>
      </c>
      <c r="I553">
        <v>52.171926399999997</v>
      </c>
      <c r="J553" t="s">
        <v>419</v>
      </c>
      <c r="K553" t="s">
        <v>291</v>
      </c>
      <c r="L553" t="s">
        <v>75</v>
      </c>
      <c r="M553" t="s">
        <v>6</v>
      </c>
    </row>
    <row r="554" spans="1:13" x14ac:dyDescent="0.25">
      <c r="A554" s="3" t="s">
        <v>79</v>
      </c>
      <c r="B554" s="4">
        <v>4</v>
      </c>
      <c r="C554" s="4"/>
      <c r="D554" s="4" t="s">
        <v>80</v>
      </c>
      <c r="E554" s="4" t="s">
        <v>6</v>
      </c>
      <c r="F554">
        <f>COUNTIFS($D$2:D554,D554)</f>
        <v>1</v>
      </c>
      <c r="G554" t="str">
        <f t="shared" si="8"/>
        <v>3871D</v>
      </c>
      <c r="H554">
        <v>5.4678630999999998</v>
      </c>
      <c r="I554">
        <v>52.1726089</v>
      </c>
      <c r="J554" t="s">
        <v>420</v>
      </c>
      <c r="K554" t="s">
        <v>260</v>
      </c>
      <c r="L554" t="s">
        <v>80</v>
      </c>
      <c r="M554" t="s">
        <v>6</v>
      </c>
    </row>
    <row r="555" spans="1:13" x14ac:dyDescent="0.25">
      <c r="A555" s="3" t="s">
        <v>79</v>
      </c>
      <c r="B555" s="4">
        <v>6</v>
      </c>
      <c r="C555" s="4"/>
      <c r="D555" s="4" t="s">
        <v>80</v>
      </c>
      <c r="E555" s="4" t="s">
        <v>6</v>
      </c>
      <c r="F555">
        <f>COUNTIFS($D$2:D555,D555)</f>
        <v>2</v>
      </c>
      <c r="G555" t="str">
        <f t="shared" si="8"/>
        <v>3871D</v>
      </c>
      <c r="H555">
        <v>5.4677749000000002</v>
      </c>
      <c r="I555">
        <v>52.172612899999997</v>
      </c>
      <c r="J555" t="s">
        <v>420</v>
      </c>
      <c r="K555" t="s">
        <v>262</v>
      </c>
      <c r="L555" t="s">
        <v>80</v>
      </c>
      <c r="M555" t="s">
        <v>6</v>
      </c>
    </row>
    <row r="556" spans="1:13" x14ac:dyDescent="0.25">
      <c r="A556" s="3" t="s">
        <v>79</v>
      </c>
      <c r="B556" s="4">
        <v>8</v>
      </c>
      <c r="C556" s="4"/>
      <c r="D556" s="4" t="s">
        <v>80</v>
      </c>
      <c r="E556" s="4" t="s">
        <v>6</v>
      </c>
      <c r="F556">
        <f>COUNTIFS($D$2:D556,D556)</f>
        <v>3</v>
      </c>
      <c r="G556" t="str">
        <f t="shared" si="8"/>
        <v>3871D</v>
      </c>
      <c r="H556">
        <v>5.4676748999999996</v>
      </c>
      <c r="I556">
        <v>52.172608599999997</v>
      </c>
      <c r="J556" t="s">
        <v>420</v>
      </c>
      <c r="K556" t="s">
        <v>263</v>
      </c>
      <c r="L556" t="s">
        <v>80</v>
      </c>
      <c r="M556" t="s">
        <v>6</v>
      </c>
    </row>
    <row r="557" spans="1:13" x14ac:dyDescent="0.25">
      <c r="A557" s="3" t="s">
        <v>79</v>
      </c>
      <c r="B557" s="4">
        <v>9</v>
      </c>
      <c r="C557" s="4"/>
      <c r="D557" s="4" t="s">
        <v>80</v>
      </c>
      <c r="E557" s="4" t="s">
        <v>6</v>
      </c>
      <c r="F557">
        <f>COUNTIFS($D$2:D557,D557)</f>
        <v>4</v>
      </c>
      <c r="G557" t="str">
        <f t="shared" si="8"/>
        <v>3871D</v>
      </c>
      <c r="H557">
        <v>5.4679982999999996</v>
      </c>
      <c r="I557">
        <v>52.172293500000002</v>
      </c>
      <c r="J557" t="s">
        <v>420</v>
      </c>
      <c r="K557" t="s">
        <v>382</v>
      </c>
      <c r="L557" t="s">
        <v>80</v>
      </c>
      <c r="M557" t="s">
        <v>6</v>
      </c>
    </row>
    <row r="558" spans="1:13" x14ac:dyDescent="0.25">
      <c r="A558" s="3" t="s">
        <v>79</v>
      </c>
      <c r="B558" s="4">
        <v>10</v>
      </c>
      <c r="C558" s="4"/>
      <c r="D558" s="4" t="s">
        <v>80</v>
      </c>
      <c r="E558" s="4" t="s">
        <v>6</v>
      </c>
      <c r="F558">
        <f>COUNTIFS($D$2:D558,D558)</f>
        <v>5</v>
      </c>
      <c r="G558" t="str">
        <f t="shared" si="8"/>
        <v>3871D</v>
      </c>
      <c r="H558">
        <v>5.4675894999999999</v>
      </c>
      <c r="I558">
        <v>52.1726077</v>
      </c>
      <c r="J558" t="s">
        <v>420</v>
      </c>
      <c r="K558" t="s">
        <v>264</v>
      </c>
      <c r="L558" t="s">
        <v>80</v>
      </c>
      <c r="M558" t="s">
        <v>6</v>
      </c>
    </row>
    <row r="559" spans="1:13" x14ac:dyDescent="0.25">
      <c r="A559" s="3" t="s">
        <v>79</v>
      </c>
      <c r="B559" s="4">
        <v>11</v>
      </c>
      <c r="C559" s="4"/>
      <c r="D559" s="4" t="s">
        <v>80</v>
      </c>
      <c r="E559" s="4" t="s">
        <v>6</v>
      </c>
      <c r="F559">
        <f>COUNTIFS($D$2:D559,D559)</f>
        <v>6</v>
      </c>
      <c r="G559" t="str">
        <f t="shared" si="8"/>
        <v>3871D</v>
      </c>
      <c r="H559">
        <v>5.4679105999999997</v>
      </c>
      <c r="I559">
        <v>52.172293500000002</v>
      </c>
      <c r="J559" t="s">
        <v>420</v>
      </c>
      <c r="K559" t="s">
        <v>391</v>
      </c>
      <c r="L559" t="s">
        <v>80</v>
      </c>
      <c r="M559" t="s">
        <v>6</v>
      </c>
    </row>
    <row r="560" spans="1:13" x14ac:dyDescent="0.25">
      <c r="A560" s="3" t="s">
        <v>79</v>
      </c>
      <c r="B560" s="4">
        <v>12</v>
      </c>
      <c r="C560" s="4"/>
      <c r="D560" s="4" t="s">
        <v>80</v>
      </c>
      <c r="E560" s="4" t="s">
        <v>6</v>
      </c>
      <c r="F560">
        <f>COUNTIFS($D$2:D560,D560)</f>
        <v>7</v>
      </c>
      <c r="G560" t="str">
        <f t="shared" si="8"/>
        <v>3871D</v>
      </c>
      <c r="H560">
        <v>5.4674925999999999</v>
      </c>
      <c r="I560">
        <v>52.172603100000003</v>
      </c>
      <c r="J560" t="s">
        <v>420</v>
      </c>
      <c r="K560" t="s">
        <v>265</v>
      </c>
      <c r="L560" t="s">
        <v>80</v>
      </c>
      <c r="M560" t="s">
        <v>6</v>
      </c>
    </row>
    <row r="561" spans="1:13" x14ac:dyDescent="0.25">
      <c r="A561" s="3" t="s">
        <v>79</v>
      </c>
      <c r="B561" s="4">
        <v>13</v>
      </c>
      <c r="C561" s="4"/>
      <c r="D561" s="4" t="s">
        <v>80</v>
      </c>
      <c r="E561" s="4" t="s">
        <v>6</v>
      </c>
      <c r="F561">
        <f>COUNTIFS($D$2:D561,D561)</f>
        <v>8</v>
      </c>
      <c r="G561" t="str">
        <f t="shared" si="8"/>
        <v>3871D</v>
      </c>
      <c r="H561">
        <v>5.4678228999999998</v>
      </c>
      <c r="I561">
        <v>52.172293600000003</v>
      </c>
      <c r="J561" t="s">
        <v>420</v>
      </c>
      <c r="K561" t="s">
        <v>359</v>
      </c>
      <c r="L561" t="s">
        <v>80</v>
      </c>
      <c r="M561" t="s">
        <v>6</v>
      </c>
    </row>
    <row r="562" spans="1:13" x14ac:dyDescent="0.25">
      <c r="A562" s="3" t="s">
        <v>79</v>
      </c>
      <c r="B562" s="4">
        <v>14</v>
      </c>
      <c r="C562" s="4"/>
      <c r="D562" s="4" t="s">
        <v>80</v>
      </c>
      <c r="E562" s="4" t="s">
        <v>6</v>
      </c>
      <c r="F562">
        <f>COUNTIFS($D$2:D562,D562)</f>
        <v>9</v>
      </c>
      <c r="G562" t="str">
        <f t="shared" si="8"/>
        <v>3871D</v>
      </c>
      <c r="H562">
        <v>5.4674034000000002</v>
      </c>
      <c r="I562">
        <v>52.1725979</v>
      </c>
      <c r="J562" t="s">
        <v>420</v>
      </c>
      <c r="K562" t="s">
        <v>266</v>
      </c>
      <c r="L562" t="s">
        <v>80</v>
      </c>
      <c r="M562" t="s">
        <v>6</v>
      </c>
    </row>
    <row r="563" spans="1:13" x14ac:dyDescent="0.25">
      <c r="A563" s="3" t="s">
        <v>79</v>
      </c>
      <c r="B563" s="4">
        <v>15</v>
      </c>
      <c r="C563" s="4"/>
      <c r="D563" s="4" t="s">
        <v>80</v>
      </c>
      <c r="E563" s="4" t="s">
        <v>6</v>
      </c>
      <c r="F563">
        <f>COUNTIFS($D$2:D563,D563)</f>
        <v>10</v>
      </c>
      <c r="G563" t="str">
        <f t="shared" si="8"/>
        <v>3871D</v>
      </c>
      <c r="H563">
        <v>5.4677205999999998</v>
      </c>
      <c r="I563">
        <v>52.172302600000002</v>
      </c>
      <c r="J563" t="s">
        <v>420</v>
      </c>
      <c r="K563" t="s">
        <v>383</v>
      </c>
      <c r="L563" t="s">
        <v>80</v>
      </c>
      <c r="M563" t="s">
        <v>6</v>
      </c>
    </row>
    <row r="564" spans="1:13" x14ac:dyDescent="0.25">
      <c r="A564" s="3" t="s">
        <v>79</v>
      </c>
      <c r="B564" s="4">
        <v>17</v>
      </c>
      <c r="C564" s="4"/>
      <c r="D564" s="4" t="s">
        <v>80</v>
      </c>
      <c r="E564" s="4" t="s">
        <v>6</v>
      </c>
      <c r="F564">
        <f>COUNTIFS($D$2:D564,D564)</f>
        <v>11</v>
      </c>
      <c r="G564" t="str">
        <f t="shared" si="8"/>
        <v>3871D</v>
      </c>
      <c r="H564">
        <v>5.4676328999999999</v>
      </c>
      <c r="I564">
        <v>52.172293699999997</v>
      </c>
      <c r="J564" t="s">
        <v>420</v>
      </c>
      <c r="K564" t="s">
        <v>360</v>
      </c>
      <c r="L564" t="s">
        <v>80</v>
      </c>
      <c r="M564" t="s">
        <v>6</v>
      </c>
    </row>
    <row r="565" spans="1:13" x14ac:dyDescent="0.25">
      <c r="A565" s="3" t="s">
        <v>79</v>
      </c>
      <c r="B565" s="4">
        <v>18</v>
      </c>
      <c r="C565" s="4"/>
      <c r="D565" s="4" t="s">
        <v>80</v>
      </c>
      <c r="E565" s="4" t="s">
        <v>6</v>
      </c>
      <c r="F565">
        <f>COUNTIFS($D$2:D565,D565)</f>
        <v>12</v>
      </c>
      <c r="G565" t="str">
        <f t="shared" si="8"/>
        <v>3871D</v>
      </c>
      <c r="H565">
        <v>5.4672122999999999</v>
      </c>
      <c r="I565">
        <v>52.172593499999998</v>
      </c>
      <c r="J565" t="s">
        <v>420</v>
      </c>
      <c r="K565" t="s">
        <v>267</v>
      </c>
      <c r="L565" t="s">
        <v>80</v>
      </c>
      <c r="M565" t="s">
        <v>6</v>
      </c>
    </row>
    <row r="566" spans="1:13" x14ac:dyDescent="0.25">
      <c r="A566" s="3" t="s">
        <v>81</v>
      </c>
      <c r="B566" s="4">
        <v>1</v>
      </c>
      <c r="C566" s="4"/>
      <c r="D566" s="4" t="s">
        <v>82</v>
      </c>
      <c r="E566" s="4" t="s">
        <v>6</v>
      </c>
      <c r="F566">
        <f>COUNTIFS($D$2:D566,D566)</f>
        <v>1</v>
      </c>
      <c r="G566" t="str">
        <f t="shared" si="8"/>
        <v>3871D</v>
      </c>
      <c r="H566">
        <v>5.4683070999999996</v>
      </c>
      <c r="I566">
        <v>52.173272900000001</v>
      </c>
      <c r="J566" t="s">
        <v>421</v>
      </c>
      <c r="K566" t="s">
        <v>355</v>
      </c>
      <c r="L566" t="s">
        <v>82</v>
      </c>
      <c r="M566" t="s">
        <v>6</v>
      </c>
    </row>
    <row r="567" spans="1:13" x14ac:dyDescent="0.25">
      <c r="A567" s="3" t="s">
        <v>81</v>
      </c>
      <c r="B567" s="4">
        <v>2</v>
      </c>
      <c r="C567" s="4"/>
      <c r="D567" s="4" t="s">
        <v>82</v>
      </c>
      <c r="E567" s="4" t="s">
        <v>6</v>
      </c>
      <c r="F567">
        <f>COUNTIFS($D$2:D567,D567)</f>
        <v>2</v>
      </c>
      <c r="G567" t="str">
        <f t="shared" si="8"/>
        <v>3871D</v>
      </c>
      <c r="H567">
        <v>5.4679859999999998</v>
      </c>
      <c r="I567">
        <v>52.173587699999999</v>
      </c>
      <c r="J567" t="s">
        <v>421</v>
      </c>
      <c r="K567" t="s">
        <v>370</v>
      </c>
      <c r="L567" t="s">
        <v>82</v>
      </c>
      <c r="M567" t="s">
        <v>6</v>
      </c>
    </row>
    <row r="568" spans="1:13" x14ac:dyDescent="0.25">
      <c r="A568" s="3" t="s">
        <v>81</v>
      </c>
      <c r="B568" s="4">
        <v>3</v>
      </c>
      <c r="C568" s="4"/>
      <c r="D568" s="4" t="s">
        <v>82</v>
      </c>
      <c r="E568" s="4" t="s">
        <v>6</v>
      </c>
      <c r="F568">
        <f>COUNTIFS($D$2:D568,D568)</f>
        <v>3</v>
      </c>
      <c r="G568" t="str">
        <f t="shared" si="8"/>
        <v>3871D</v>
      </c>
      <c r="H568">
        <v>5.4682193999999997</v>
      </c>
      <c r="I568">
        <v>52.173273000000002</v>
      </c>
      <c r="J568" t="s">
        <v>421</v>
      </c>
      <c r="K568" t="s">
        <v>356</v>
      </c>
      <c r="L568" t="s">
        <v>82</v>
      </c>
      <c r="M568" t="s">
        <v>6</v>
      </c>
    </row>
    <row r="569" spans="1:13" x14ac:dyDescent="0.25">
      <c r="A569" s="3" t="s">
        <v>81</v>
      </c>
      <c r="B569" s="4">
        <v>4</v>
      </c>
      <c r="C569" s="4"/>
      <c r="D569" s="4" t="s">
        <v>82</v>
      </c>
      <c r="E569" s="4" t="s">
        <v>6</v>
      </c>
      <c r="F569">
        <f>COUNTIFS($D$2:D569,D569)</f>
        <v>4</v>
      </c>
      <c r="G569" t="str">
        <f t="shared" si="8"/>
        <v>3871D</v>
      </c>
      <c r="H569">
        <v>5.4678982999999999</v>
      </c>
      <c r="I569">
        <v>52.1735878</v>
      </c>
      <c r="J569" t="s">
        <v>421</v>
      </c>
      <c r="K569" t="s">
        <v>260</v>
      </c>
      <c r="L569" t="s">
        <v>82</v>
      </c>
      <c r="M569" t="s">
        <v>6</v>
      </c>
    </row>
    <row r="570" spans="1:13" x14ac:dyDescent="0.25">
      <c r="A570" s="3" t="s">
        <v>81</v>
      </c>
      <c r="B570" s="4">
        <v>7</v>
      </c>
      <c r="C570" s="4"/>
      <c r="D570" s="4" t="s">
        <v>82</v>
      </c>
      <c r="E570" s="4" t="s">
        <v>6</v>
      </c>
      <c r="F570">
        <f>COUNTIFS($D$2:D570,D570)</f>
        <v>5</v>
      </c>
      <c r="G570" t="str">
        <f t="shared" si="8"/>
        <v>3871D</v>
      </c>
      <c r="H570">
        <v>5.4680147000000003</v>
      </c>
      <c r="I570">
        <v>52.173264099999997</v>
      </c>
      <c r="J570" t="s">
        <v>421</v>
      </c>
      <c r="K570" t="s">
        <v>358</v>
      </c>
      <c r="L570" t="s">
        <v>82</v>
      </c>
      <c r="M570" t="s">
        <v>6</v>
      </c>
    </row>
    <row r="571" spans="1:13" x14ac:dyDescent="0.25">
      <c r="A571" s="3" t="s">
        <v>81</v>
      </c>
      <c r="B571" s="4">
        <v>9</v>
      </c>
      <c r="C571" s="4"/>
      <c r="D571" s="4" t="s">
        <v>82</v>
      </c>
      <c r="E571" s="4" t="s">
        <v>6</v>
      </c>
      <c r="F571">
        <f>COUNTIFS($D$2:D571,D571)</f>
        <v>6</v>
      </c>
      <c r="G571" t="str">
        <f t="shared" si="8"/>
        <v>3871D</v>
      </c>
      <c r="H571">
        <v>5.4679561999999997</v>
      </c>
      <c r="I571">
        <v>52.173246200000001</v>
      </c>
      <c r="J571" t="s">
        <v>421</v>
      </c>
      <c r="K571" t="s">
        <v>382</v>
      </c>
      <c r="L571" t="s">
        <v>82</v>
      </c>
      <c r="M571" t="s">
        <v>6</v>
      </c>
    </row>
    <row r="572" spans="1:13" x14ac:dyDescent="0.25">
      <c r="A572" s="3" t="s">
        <v>81</v>
      </c>
      <c r="B572" s="4">
        <v>10</v>
      </c>
      <c r="C572" s="4"/>
      <c r="D572" s="4" t="s">
        <v>82</v>
      </c>
      <c r="E572" s="4" t="s">
        <v>6</v>
      </c>
      <c r="F572">
        <f>COUNTIFS($D$2:D572,D572)</f>
        <v>7</v>
      </c>
      <c r="G572" t="str">
        <f t="shared" si="8"/>
        <v>3871D</v>
      </c>
      <c r="H572">
        <v>5.4676352000000001</v>
      </c>
      <c r="I572">
        <v>52.173569999999998</v>
      </c>
      <c r="J572" t="s">
        <v>421</v>
      </c>
      <c r="K572" t="s">
        <v>264</v>
      </c>
      <c r="L572" t="s">
        <v>82</v>
      </c>
      <c r="M572" t="s">
        <v>6</v>
      </c>
    </row>
    <row r="573" spans="1:13" x14ac:dyDescent="0.25">
      <c r="A573" s="3" t="s">
        <v>81</v>
      </c>
      <c r="B573" s="4">
        <v>11</v>
      </c>
      <c r="C573" s="4"/>
      <c r="D573" s="4" t="s">
        <v>82</v>
      </c>
      <c r="E573" s="4" t="s">
        <v>6</v>
      </c>
      <c r="F573">
        <f>COUNTIFS($D$2:D573,D573)</f>
        <v>8</v>
      </c>
      <c r="G573" t="str">
        <f t="shared" si="8"/>
        <v>3871D</v>
      </c>
      <c r="H573">
        <v>5.4678246000000001</v>
      </c>
      <c r="I573">
        <v>52.173255300000001</v>
      </c>
      <c r="J573" t="s">
        <v>421</v>
      </c>
      <c r="K573" t="s">
        <v>391</v>
      </c>
      <c r="L573" t="s">
        <v>82</v>
      </c>
      <c r="M573" t="s">
        <v>6</v>
      </c>
    </row>
    <row r="574" spans="1:13" x14ac:dyDescent="0.25">
      <c r="A574" s="3" t="s">
        <v>81</v>
      </c>
      <c r="B574" s="4">
        <v>12</v>
      </c>
      <c r="C574" s="4"/>
      <c r="D574" s="4" t="s">
        <v>82</v>
      </c>
      <c r="E574" s="4" t="s">
        <v>6</v>
      </c>
      <c r="F574">
        <f>COUNTIFS($D$2:D574,D574)</f>
        <v>9</v>
      </c>
      <c r="G574" t="str">
        <f t="shared" si="8"/>
        <v>3871D</v>
      </c>
      <c r="H574">
        <v>5.4675327999999999</v>
      </c>
      <c r="I574">
        <v>52.173570099999999</v>
      </c>
      <c r="J574" t="s">
        <v>421</v>
      </c>
      <c r="K574" t="s">
        <v>265</v>
      </c>
      <c r="L574" t="s">
        <v>82</v>
      </c>
      <c r="M574" t="s">
        <v>6</v>
      </c>
    </row>
    <row r="575" spans="1:13" x14ac:dyDescent="0.25">
      <c r="A575" s="3" t="s">
        <v>81</v>
      </c>
      <c r="B575" s="4">
        <v>13</v>
      </c>
      <c r="C575" s="4"/>
      <c r="D575" s="4" t="s">
        <v>82</v>
      </c>
      <c r="E575" s="4" t="s">
        <v>6</v>
      </c>
      <c r="F575">
        <f>COUNTIFS($D$2:D575,D575)</f>
        <v>10</v>
      </c>
      <c r="G575" t="str">
        <f t="shared" si="8"/>
        <v>3871D</v>
      </c>
      <c r="H575">
        <v>5.4677515000000003</v>
      </c>
      <c r="I575">
        <v>52.173255300000001</v>
      </c>
      <c r="J575" t="s">
        <v>421</v>
      </c>
      <c r="K575" t="s">
        <v>359</v>
      </c>
      <c r="L575" t="s">
        <v>82</v>
      </c>
      <c r="M575" t="s">
        <v>6</v>
      </c>
    </row>
    <row r="576" spans="1:13" x14ac:dyDescent="0.25">
      <c r="A576" s="3" t="s">
        <v>81</v>
      </c>
      <c r="B576" s="4">
        <v>14</v>
      </c>
      <c r="C576" s="4"/>
      <c r="D576" s="4" t="s">
        <v>82</v>
      </c>
      <c r="E576" s="4" t="s">
        <v>6</v>
      </c>
      <c r="F576">
        <f>COUNTIFS($D$2:D576,D576)</f>
        <v>11</v>
      </c>
      <c r="G576" t="str">
        <f t="shared" si="8"/>
        <v>3871D</v>
      </c>
      <c r="H576">
        <v>5.4674304999999999</v>
      </c>
      <c r="I576">
        <v>52.173570099999999</v>
      </c>
      <c r="J576" t="s">
        <v>421</v>
      </c>
      <c r="K576" t="s">
        <v>266</v>
      </c>
      <c r="L576" t="s">
        <v>82</v>
      </c>
      <c r="M576" t="s">
        <v>6</v>
      </c>
    </row>
    <row r="577" spans="1:13" x14ac:dyDescent="0.25">
      <c r="A577" s="3" t="s">
        <v>81</v>
      </c>
      <c r="B577" s="4">
        <v>15</v>
      </c>
      <c r="C577" s="4"/>
      <c r="D577" s="4" t="s">
        <v>82</v>
      </c>
      <c r="E577" s="4" t="s">
        <v>6</v>
      </c>
      <c r="F577">
        <f>COUNTIFS($D$2:D577,D577)</f>
        <v>12</v>
      </c>
      <c r="G577" t="str">
        <f t="shared" si="8"/>
        <v>3871D</v>
      </c>
      <c r="H577">
        <v>5.4676638000000004</v>
      </c>
      <c r="I577">
        <v>52.173255400000002</v>
      </c>
      <c r="J577" t="s">
        <v>421</v>
      </c>
      <c r="K577" t="s">
        <v>383</v>
      </c>
      <c r="L577" t="s">
        <v>82</v>
      </c>
      <c r="M577" t="s">
        <v>6</v>
      </c>
    </row>
    <row r="578" spans="1:13" x14ac:dyDescent="0.25">
      <c r="A578" s="3" t="s">
        <v>81</v>
      </c>
      <c r="B578" s="4">
        <v>16</v>
      </c>
      <c r="C578" s="4"/>
      <c r="D578" s="4" t="s">
        <v>82</v>
      </c>
      <c r="E578" s="4" t="s">
        <v>6</v>
      </c>
      <c r="F578">
        <f>COUNTIFS($D$2:D578,D578)</f>
        <v>13</v>
      </c>
      <c r="G578" t="str">
        <f t="shared" ref="G578:G641" si="9">LEFT(A578,5)</f>
        <v>3871D</v>
      </c>
      <c r="H578">
        <v>5.4673427999999999</v>
      </c>
      <c r="I578">
        <v>52.1735702</v>
      </c>
      <c r="J578" t="s">
        <v>421</v>
      </c>
      <c r="K578" t="s">
        <v>371</v>
      </c>
      <c r="L578" t="s">
        <v>82</v>
      </c>
      <c r="M578" t="s">
        <v>6</v>
      </c>
    </row>
    <row r="579" spans="1:13" x14ac:dyDescent="0.25">
      <c r="A579" s="3" t="s">
        <v>81</v>
      </c>
      <c r="B579" s="4">
        <v>18</v>
      </c>
      <c r="C579" s="4"/>
      <c r="D579" s="4" t="s">
        <v>82</v>
      </c>
      <c r="E579" s="4" t="s">
        <v>6</v>
      </c>
      <c r="F579">
        <f>COUNTIFS($D$2:D579,D579)</f>
        <v>14</v>
      </c>
      <c r="G579" t="str">
        <f t="shared" si="9"/>
        <v>3871D</v>
      </c>
      <c r="H579">
        <v>5.4672551</v>
      </c>
      <c r="I579">
        <v>52.173570300000002</v>
      </c>
      <c r="J579" t="s">
        <v>421</v>
      </c>
      <c r="K579" t="s">
        <v>267</v>
      </c>
      <c r="L579" t="s">
        <v>82</v>
      </c>
      <c r="M579" t="s">
        <v>6</v>
      </c>
    </row>
    <row r="580" spans="1:13" x14ac:dyDescent="0.25">
      <c r="A580" s="3" t="s">
        <v>81</v>
      </c>
      <c r="B580" s="4">
        <v>20</v>
      </c>
      <c r="C580" s="4"/>
      <c r="D580" s="4" t="s">
        <v>82</v>
      </c>
      <c r="E580" s="4" t="s">
        <v>6</v>
      </c>
      <c r="F580">
        <f>COUNTIFS($D$2:D580,D580)</f>
        <v>15</v>
      </c>
      <c r="G580" t="str">
        <f t="shared" si="9"/>
        <v>3871D</v>
      </c>
      <c r="H580">
        <v>5.4671674000000001</v>
      </c>
      <c r="I580">
        <v>52.173561300000003</v>
      </c>
      <c r="J580" t="s">
        <v>421</v>
      </c>
      <c r="K580" t="s">
        <v>372</v>
      </c>
      <c r="L580" t="s">
        <v>82</v>
      </c>
      <c r="M580" t="s">
        <v>6</v>
      </c>
    </row>
    <row r="581" spans="1:13" x14ac:dyDescent="0.25">
      <c r="A581" s="3" t="s">
        <v>83</v>
      </c>
      <c r="B581" s="4">
        <v>1</v>
      </c>
      <c r="C581" s="4"/>
      <c r="D581" s="4" t="s">
        <v>84</v>
      </c>
      <c r="E581" s="4" t="s">
        <v>6</v>
      </c>
      <c r="F581">
        <f>COUNTIFS($D$2:D581,D581)</f>
        <v>1</v>
      </c>
      <c r="G581" t="str">
        <f t="shared" si="9"/>
        <v>3871D</v>
      </c>
      <c r="H581">
        <v>5.4668004000000003</v>
      </c>
      <c r="I581">
        <v>52.172743699999998</v>
      </c>
      <c r="J581" t="s">
        <v>422</v>
      </c>
      <c r="K581" t="s">
        <v>355</v>
      </c>
      <c r="L581" t="s">
        <v>84</v>
      </c>
      <c r="M581" t="s">
        <v>6</v>
      </c>
    </row>
    <row r="582" spans="1:13" x14ac:dyDescent="0.25">
      <c r="A582" s="3" t="s">
        <v>83</v>
      </c>
      <c r="B582" s="4">
        <v>2</v>
      </c>
      <c r="C582" s="4"/>
      <c r="D582" s="4" t="s">
        <v>84</v>
      </c>
      <c r="E582" s="4" t="s">
        <v>6</v>
      </c>
      <c r="F582">
        <f>COUNTIFS($D$2:D582,D582)</f>
        <v>2</v>
      </c>
      <c r="G582" t="str">
        <f t="shared" si="9"/>
        <v>3871D</v>
      </c>
      <c r="H582">
        <v>5.4664209000000001</v>
      </c>
      <c r="I582">
        <v>52.173058500000003</v>
      </c>
      <c r="J582" t="s">
        <v>422</v>
      </c>
      <c r="K582" t="s">
        <v>370</v>
      </c>
      <c r="L582" t="s">
        <v>84</v>
      </c>
      <c r="M582" t="s">
        <v>6</v>
      </c>
    </row>
    <row r="583" spans="1:13" x14ac:dyDescent="0.25">
      <c r="A583" s="3" t="s">
        <v>83</v>
      </c>
      <c r="B583" s="4">
        <v>3</v>
      </c>
      <c r="C583" s="4"/>
      <c r="D583" s="4" t="s">
        <v>84</v>
      </c>
      <c r="E583" s="4" t="s">
        <v>6</v>
      </c>
      <c r="F583">
        <f>COUNTIFS($D$2:D583,D583)</f>
        <v>3</v>
      </c>
      <c r="G583" t="str">
        <f t="shared" si="9"/>
        <v>3871D</v>
      </c>
      <c r="H583">
        <v>5.466742</v>
      </c>
      <c r="I583">
        <v>52.172743699999998</v>
      </c>
      <c r="J583" t="s">
        <v>422</v>
      </c>
      <c r="K583" t="s">
        <v>356</v>
      </c>
      <c r="L583" t="s">
        <v>84</v>
      </c>
      <c r="M583" t="s">
        <v>6</v>
      </c>
    </row>
    <row r="584" spans="1:13" x14ac:dyDescent="0.25">
      <c r="A584" s="3" t="s">
        <v>83</v>
      </c>
      <c r="B584" s="4">
        <v>4</v>
      </c>
      <c r="C584" s="4"/>
      <c r="D584" s="4" t="s">
        <v>84</v>
      </c>
      <c r="E584" s="4" t="s">
        <v>6</v>
      </c>
      <c r="F584">
        <f>COUNTIFS($D$2:D584,D584)</f>
        <v>4</v>
      </c>
      <c r="G584" t="str">
        <f t="shared" si="9"/>
        <v>3871D</v>
      </c>
      <c r="H584">
        <v>5.4663332000000002</v>
      </c>
      <c r="I584">
        <v>52.173058599999997</v>
      </c>
      <c r="J584" t="s">
        <v>422</v>
      </c>
      <c r="K584" t="s">
        <v>260</v>
      </c>
      <c r="L584" t="s">
        <v>84</v>
      </c>
      <c r="M584" t="s">
        <v>6</v>
      </c>
    </row>
    <row r="585" spans="1:13" x14ac:dyDescent="0.25">
      <c r="A585" s="3" t="s">
        <v>83</v>
      </c>
      <c r="B585" s="4">
        <v>5</v>
      </c>
      <c r="C585" s="4"/>
      <c r="D585" s="4" t="s">
        <v>84</v>
      </c>
      <c r="E585" s="4" t="s">
        <v>6</v>
      </c>
      <c r="F585">
        <f>COUNTIFS($D$2:D585,D585)</f>
        <v>5</v>
      </c>
      <c r="G585" t="str">
        <f t="shared" si="9"/>
        <v>3871D</v>
      </c>
      <c r="H585">
        <v>5.4666541999999998</v>
      </c>
      <c r="I585">
        <v>52.172734800000001</v>
      </c>
      <c r="J585" t="s">
        <v>422</v>
      </c>
      <c r="K585" t="s">
        <v>357</v>
      </c>
      <c r="L585" t="s">
        <v>84</v>
      </c>
      <c r="M585" t="s">
        <v>6</v>
      </c>
    </row>
    <row r="586" spans="1:13" x14ac:dyDescent="0.25">
      <c r="A586" s="3" t="s">
        <v>83</v>
      </c>
      <c r="B586" s="4">
        <v>6</v>
      </c>
      <c r="C586" s="4"/>
      <c r="D586" s="4" t="s">
        <v>84</v>
      </c>
      <c r="E586" s="4" t="s">
        <v>6</v>
      </c>
      <c r="F586">
        <f>COUNTIFS($D$2:D586,D586)</f>
        <v>6</v>
      </c>
      <c r="G586" t="str">
        <f t="shared" si="9"/>
        <v>3871D</v>
      </c>
      <c r="H586">
        <v>5.4662455000000003</v>
      </c>
      <c r="I586">
        <v>52.173058599999997</v>
      </c>
      <c r="J586" t="s">
        <v>422</v>
      </c>
      <c r="K586" t="s">
        <v>262</v>
      </c>
      <c r="L586" t="s">
        <v>84</v>
      </c>
      <c r="M586" t="s">
        <v>6</v>
      </c>
    </row>
    <row r="587" spans="1:13" x14ac:dyDescent="0.25">
      <c r="A587" s="3" t="s">
        <v>83</v>
      </c>
      <c r="B587" s="4">
        <v>7</v>
      </c>
      <c r="C587" s="4"/>
      <c r="D587" s="4" t="s">
        <v>84</v>
      </c>
      <c r="E587" s="4" t="s">
        <v>6</v>
      </c>
      <c r="F587">
        <f>COUNTIFS($D$2:D587,D587)</f>
        <v>7</v>
      </c>
      <c r="G587" t="str">
        <f t="shared" si="9"/>
        <v>3871D</v>
      </c>
      <c r="H587">
        <v>5.4665664999999999</v>
      </c>
      <c r="I587">
        <v>52.172734800000001</v>
      </c>
      <c r="J587" t="s">
        <v>422</v>
      </c>
      <c r="K587" t="s">
        <v>358</v>
      </c>
      <c r="L587" t="s">
        <v>84</v>
      </c>
      <c r="M587" t="s">
        <v>6</v>
      </c>
    </row>
    <row r="588" spans="1:13" x14ac:dyDescent="0.25">
      <c r="A588" s="3" t="s">
        <v>83</v>
      </c>
      <c r="B588" s="4">
        <v>8</v>
      </c>
      <c r="C588" s="4"/>
      <c r="D588" s="4" t="s">
        <v>84</v>
      </c>
      <c r="E588" s="4" t="s">
        <v>6</v>
      </c>
      <c r="F588">
        <f>COUNTIFS($D$2:D588,D588)</f>
        <v>8</v>
      </c>
      <c r="G588" t="str">
        <f t="shared" si="9"/>
        <v>3871D</v>
      </c>
      <c r="H588">
        <v>5.4661431</v>
      </c>
      <c r="I588">
        <v>52.1730497</v>
      </c>
      <c r="J588" t="s">
        <v>422</v>
      </c>
      <c r="K588" t="s">
        <v>263</v>
      </c>
      <c r="L588" t="s">
        <v>84</v>
      </c>
      <c r="M588" t="s">
        <v>6</v>
      </c>
    </row>
    <row r="589" spans="1:13" x14ac:dyDescent="0.25">
      <c r="A589" s="3" t="s">
        <v>83</v>
      </c>
      <c r="B589" s="4">
        <v>9</v>
      </c>
      <c r="C589" s="4"/>
      <c r="D589" s="4" t="s">
        <v>84</v>
      </c>
      <c r="E589" s="4" t="s">
        <v>6</v>
      </c>
      <c r="F589">
        <f>COUNTIFS($D$2:D589,D589)</f>
        <v>9</v>
      </c>
      <c r="G589" t="str">
        <f t="shared" si="9"/>
        <v>3871D</v>
      </c>
      <c r="H589">
        <v>5.4664788</v>
      </c>
      <c r="I589">
        <v>52.172734900000002</v>
      </c>
      <c r="J589" t="s">
        <v>422</v>
      </c>
      <c r="K589" t="s">
        <v>382</v>
      </c>
      <c r="L589" t="s">
        <v>84</v>
      </c>
      <c r="M589" t="s">
        <v>6</v>
      </c>
    </row>
    <row r="590" spans="1:13" x14ac:dyDescent="0.25">
      <c r="A590" s="3" t="s">
        <v>83</v>
      </c>
      <c r="B590" s="4">
        <v>10</v>
      </c>
      <c r="C590" s="4"/>
      <c r="D590" s="4" t="s">
        <v>84</v>
      </c>
      <c r="E590" s="4" t="s">
        <v>6</v>
      </c>
      <c r="F590">
        <f>COUNTIFS($D$2:D590,D590)</f>
        <v>10</v>
      </c>
      <c r="G590" t="str">
        <f t="shared" si="9"/>
        <v>3871D</v>
      </c>
      <c r="H590">
        <v>5.4660408</v>
      </c>
      <c r="I590">
        <v>52.173049800000001</v>
      </c>
      <c r="J590" t="s">
        <v>422</v>
      </c>
      <c r="K590" t="s">
        <v>264</v>
      </c>
      <c r="L590" t="s">
        <v>84</v>
      </c>
      <c r="M590" t="s">
        <v>6</v>
      </c>
    </row>
    <row r="591" spans="1:13" x14ac:dyDescent="0.25">
      <c r="A591" s="3" t="s">
        <v>83</v>
      </c>
      <c r="B591" s="4">
        <v>11</v>
      </c>
      <c r="C591" s="4"/>
      <c r="D591" s="4" t="s">
        <v>84</v>
      </c>
      <c r="E591" s="4" t="s">
        <v>6</v>
      </c>
      <c r="F591">
        <f>COUNTIFS($D$2:D591,D591)</f>
        <v>11</v>
      </c>
      <c r="G591" t="str">
        <f t="shared" si="9"/>
        <v>3871D</v>
      </c>
      <c r="H591">
        <v>5.4663765</v>
      </c>
      <c r="I591">
        <v>52.172735000000003</v>
      </c>
      <c r="J591" t="s">
        <v>422</v>
      </c>
      <c r="K591" t="s">
        <v>391</v>
      </c>
      <c r="L591" t="s">
        <v>84</v>
      </c>
      <c r="M591" t="s">
        <v>6</v>
      </c>
    </row>
    <row r="592" spans="1:13" x14ac:dyDescent="0.25">
      <c r="A592" s="3" t="s">
        <v>83</v>
      </c>
      <c r="B592" s="4">
        <v>12</v>
      </c>
      <c r="C592" s="4"/>
      <c r="D592" s="4" t="s">
        <v>84</v>
      </c>
      <c r="E592" s="4" t="s">
        <v>6</v>
      </c>
      <c r="F592">
        <f>COUNTIFS($D$2:D592,D592)</f>
        <v>12</v>
      </c>
      <c r="G592" t="str">
        <f t="shared" si="9"/>
        <v>3871D</v>
      </c>
      <c r="H592">
        <v>5.4659531000000001</v>
      </c>
      <c r="I592">
        <v>52.1730588</v>
      </c>
      <c r="J592" t="s">
        <v>422</v>
      </c>
      <c r="K592" t="s">
        <v>265</v>
      </c>
      <c r="L592" t="s">
        <v>84</v>
      </c>
      <c r="M592" t="s">
        <v>6</v>
      </c>
    </row>
    <row r="593" spans="1:13" x14ac:dyDescent="0.25">
      <c r="A593" s="3" t="s">
        <v>83</v>
      </c>
      <c r="B593" s="4">
        <v>13</v>
      </c>
      <c r="C593" s="4"/>
      <c r="D593" s="4" t="s">
        <v>84</v>
      </c>
      <c r="E593" s="4" t="s">
        <v>6</v>
      </c>
      <c r="F593">
        <f>COUNTIFS($D$2:D593,D593)</f>
        <v>13</v>
      </c>
      <c r="G593" t="str">
        <f t="shared" si="9"/>
        <v>3871D</v>
      </c>
      <c r="H593">
        <v>5.4662742</v>
      </c>
      <c r="I593">
        <v>52.172735000000003</v>
      </c>
      <c r="J593" t="s">
        <v>422</v>
      </c>
      <c r="K593" t="s">
        <v>359</v>
      </c>
      <c r="L593" t="s">
        <v>84</v>
      </c>
      <c r="M593" t="s">
        <v>6</v>
      </c>
    </row>
    <row r="594" spans="1:13" x14ac:dyDescent="0.25">
      <c r="A594" s="3" t="s">
        <v>83</v>
      </c>
      <c r="B594" s="4">
        <v>14</v>
      </c>
      <c r="C594" s="4"/>
      <c r="D594" s="4" t="s">
        <v>84</v>
      </c>
      <c r="E594" s="4" t="s">
        <v>6</v>
      </c>
      <c r="F594">
        <f>COUNTIFS($D$2:D594,D594)</f>
        <v>14</v>
      </c>
      <c r="G594" t="str">
        <f t="shared" si="9"/>
        <v>3871D</v>
      </c>
      <c r="H594">
        <v>5.4658508000000001</v>
      </c>
      <c r="I594">
        <v>52.173049900000002</v>
      </c>
      <c r="J594" t="s">
        <v>422</v>
      </c>
      <c r="K594" t="s">
        <v>266</v>
      </c>
      <c r="L594" t="s">
        <v>84</v>
      </c>
      <c r="M594" t="s">
        <v>6</v>
      </c>
    </row>
    <row r="595" spans="1:13" x14ac:dyDescent="0.25">
      <c r="A595" s="3" t="s">
        <v>85</v>
      </c>
      <c r="B595" s="4">
        <v>1</v>
      </c>
      <c r="C595" s="4"/>
      <c r="D595" s="4" t="s">
        <v>86</v>
      </c>
      <c r="E595" s="4" t="s">
        <v>6</v>
      </c>
      <c r="F595">
        <f>COUNTIFS($D$2:D595,D595)</f>
        <v>1</v>
      </c>
      <c r="G595" t="str">
        <f t="shared" si="9"/>
        <v>3871D</v>
      </c>
      <c r="H595">
        <v>5.4674773999999999</v>
      </c>
      <c r="I595">
        <v>52.1742104</v>
      </c>
      <c r="J595" t="s">
        <v>423</v>
      </c>
      <c r="K595" t="s">
        <v>355</v>
      </c>
      <c r="L595" t="s">
        <v>86</v>
      </c>
      <c r="M595" t="s">
        <v>6</v>
      </c>
    </row>
    <row r="596" spans="1:13" x14ac:dyDescent="0.25">
      <c r="A596" s="3" t="s">
        <v>85</v>
      </c>
      <c r="B596" s="4">
        <v>3</v>
      </c>
      <c r="C596" s="4"/>
      <c r="D596" s="4" t="s">
        <v>86</v>
      </c>
      <c r="E596" s="4" t="s">
        <v>6</v>
      </c>
      <c r="F596">
        <f>COUNTIFS($D$2:D596,D596)</f>
        <v>2</v>
      </c>
      <c r="G596" t="str">
        <f t="shared" si="9"/>
        <v>3871D</v>
      </c>
      <c r="H596">
        <v>5.4676695999999998</v>
      </c>
      <c r="I596">
        <v>52.174274099999998</v>
      </c>
      <c r="J596" t="s">
        <v>423</v>
      </c>
      <c r="K596" t="s">
        <v>356</v>
      </c>
      <c r="L596" t="s">
        <v>86</v>
      </c>
      <c r="M596" t="s">
        <v>6</v>
      </c>
    </row>
    <row r="597" spans="1:13" x14ac:dyDescent="0.25">
      <c r="A597" s="3" t="s">
        <v>85</v>
      </c>
      <c r="B597" s="4">
        <v>5</v>
      </c>
      <c r="C597" s="4"/>
      <c r="D597" s="4" t="s">
        <v>86</v>
      </c>
      <c r="E597" s="4" t="s">
        <v>6</v>
      </c>
      <c r="F597">
        <f>COUNTIFS($D$2:D597,D597)</f>
        <v>3</v>
      </c>
      <c r="G597" t="str">
        <f t="shared" si="9"/>
        <v>3871D</v>
      </c>
      <c r="H597">
        <v>5.4678450999999999</v>
      </c>
      <c r="I597">
        <v>52.174233600000001</v>
      </c>
      <c r="J597" t="s">
        <v>423</v>
      </c>
      <c r="K597" t="s">
        <v>357</v>
      </c>
      <c r="L597" t="s">
        <v>86</v>
      </c>
      <c r="M597" t="s">
        <v>6</v>
      </c>
    </row>
    <row r="598" spans="1:13" x14ac:dyDescent="0.25">
      <c r="A598" s="3" t="s">
        <v>85</v>
      </c>
      <c r="B598" s="4">
        <v>7</v>
      </c>
      <c r="C598" s="4"/>
      <c r="D598" s="4" t="s">
        <v>86</v>
      </c>
      <c r="E598" s="4" t="s">
        <v>6</v>
      </c>
      <c r="F598">
        <f>COUNTIFS($D$2:D598,D598)</f>
        <v>4</v>
      </c>
      <c r="G598" t="str">
        <f t="shared" si="9"/>
        <v>3871D</v>
      </c>
      <c r="H598">
        <v>5.4680457000000002</v>
      </c>
      <c r="I598">
        <v>52.174252799999998</v>
      </c>
      <c r="J598" t="s">
        <v>423</v>
      </c>
      <c r="K598" t="s">
        <v>358</v>
      </c>
      <c r="L598" t="s">
        <v>86</v>
      </c>
      <c r="M598" t="s">
        <v>6</v>
      </c>
    </row>
    <row r="599" spans="1:13" x14ac:dyDescent="0.25">
      <c r="A599" s="3" t="s">
        <v>85</v>
      </c>
      <c r="B599" s="4">
        <v>8</v>
      </c>
      <c r="C599" s="4"/>
      <c r="D599" s="4" t="s">
        <v>86</v>
      </c>
      <c r="E599" s="4" t="s">
        <v>6</v>
      </c>
      <c r="F599">
        <f>COUNTIFS($D$2:D599,D599)</f>
        <v>5</v>
      </c>
      <c r="G599" t="str">
        <f t="shared" si="9"/>
        <v>3871D</v>
      </c>
      <c r="H599">
        <v>5.4681243999999998</v>
      </c>
      <c r="I599">
        <v>52.174264299999997</v>
      </c>
      <c r="J599" t="s">
        <v>423</v>
      </c>
      <c r="K599" t="s">
        <v>263</v>
      </c>
      <c r="L599" t="s">
        <v>86</v>
      </c>
      <c r="M599" t="s">
        <v>6</v>
      </c>
    </row>
    <row r="600" spans="1:13" x14ac:dyDescent="0.25">
      <c r="A600" s="3" t="s">
        <v>85</v>
      </c>
      <c r="B600" s="4">
        <v>9</v>
      </c>
      <c r="C600" s="4"/>
      <c r="D600" s="4" t="s">
        <v>86</v>
      </c>
      <c r="E600" s="4" t="s">
        <v>6</v>
      </c>
      <c r="F600">
        <f>COUNTIFS($D$2:D600,D600)</f>
        <v>6</v>
      </c>
      <c r="G600" t="str">
        <f t="shared" si="9"/>
        <v>3871D</v>
      </c>
      <c r="H600">
        <v>5.4682228999999998</v>
      </c>
      <c r="I600">
        <v>52.174275600000001</v>
      </c>
      <c r="J600" t="s">
        <v>423</v>
      </c>
      <c r="K600" t="s">
        <v>382</v>
      </c>
      <c r="L600" t="s">
        <v>86</v>
      </c>
      <c r="M600" t="s">
        <v>6</v>
      </c>
    </row>
    <row r="601" spans="1:13" x14ac:dyDescent="0.25">
      <c r="A601" s="3" t="s">
        <v>85</v>
      </c>
      <c r="B601" s="4">
        <v>10</v>
      </c>
      <c r="C601" s="4"/>
      <c r="D601" s="4" t="s">
        <v>86</v>
      </c>
      <c r="E601" s="4" t="s">
        <v>6</v>
      </c>
      <c r="F601">
        <f>COUNTIFS($D$2:D601,D601)</f>
        <v>7</v>
      </c>
      <c r="G601" t="str">
        <f t="shared" si="9"/>
        <v>3871D</v>
      </c>
      <c r="H601">
        <v>5.4683200999999997</v>
      </c>
      <c r="I601">
        <v>52.174286199999997</v>
      </c>
      <c r="J601" t="s">
        <v>423</v>
      </c>
      <c r="K601" t="s">
        <v>264</v>
      </c>
      <c r="L601" t="s">
        <v>86</v>
      </c>
      <c r="M601" t="s">
        <v>6</v>
      </c>
    </row>
    <row r="602" spans="1:13" x14ac:dyDescent="0.25">
      <c r="A602" s="3" t="s">
        <v>85</v>
      </c>
      <c r="B602" s="4">
        <v>11</v>
      </c>
      <c r="C602" s="4"/>
      <c r="D602" s="4" t="s">
        <v>86</v>
      </c>
      <c r="E602" s="4" t="s">
        <v>6</v>
      </c>
      <c r="F602">
        <f>COUNTIFS($D$2:D602,D602)</f>
        <v>8</v>
      </c>
      <c r="G602" t="str">
        <f t="shared" si="9"/>
        <v>3871D</v>
      </c>
      <c r="H602">
        <v>5.4683092000000002</v>
      </c>
      <c r="I602">
        <v>52.174432400000001</v>
      </c>
      <c r="J602" t="s">
        <v>423</v>
      </c>
      <c r="K602" t="s">
        <v>391</v>
      </c>
      <c r="L602" t="s">
        <v>86</v>
      </c>
      <c r="M602" t="s">
        <v>6</v>
      </c>
    </row>
    <row r="603" spans="1:13" x14ac:dyDescent="0.25">
      <c r="A603" s="3" t="s">
        <v>85</v>
      </c>
      <c r="B603" s="4">
        <v>12</v>
      </c>
      <c r="C603" s="4"/>
      <c r="D603" s="4" t="s">
        <v>86</v>
      </c>
      <c r="E603" s="4" t="s">
        <v>6</v>
      </c>
      <c r="F603">
        <f>COUNTIFS($D$2:D603,D603)</f>
        <v>9</v>
      </c>
      <c r="G603" t="str">
        <f t="shared" si="9"/>
        <v>3871D</v>
      </c>
      <c r="H603">
        <v>5.4683092999999996</v>
      </c>
      <c r="I603">
        <v>52.174486299999998</v>
      </c>
      <c r="J603" t="s">
        <v>423</v>
      </c>
      <c r="K603" t="s">
        <v>265</v>
      </c>
      <c r="L603" t="s">
        <v>86</v>
      </c>
      <c r="M603" t="s">
        <v>6</v>
      </c>
    </row>
    <row r="604" spans="1:13" x14ac:dyDescent="0.25">
      <c r="A604" s="3" t="s">
        <v>85</v>
      </c>
      <c r="B604" s="4">
        <v>14</v>
      </c>
      <c r="C604" s="4"/>
      <c r="D604" s="4" t="s">
        <v>86</v>
      </c>
      <c r="E604" s="4" t="s">
        <v>6</v>
      </c>
      <c r="F604">
        <f>COUNTIFS($D$2:D604,D604)</f>
        <v>10</v>
      </c>
      <c r="G604" t="str">
        <f t="shared" si="9"/>
        <v>3871D</v>
      </c>
      <c r="H604">
        <v>5.4682656999999999</v>
      </c>
      <c r="I604">
        <v>52.174612199999999</v>
      </c>
      <c r="J604" t="s">
        <v>423</v>
      </c>
      <c r="K604" t="s">
        <v>266</v>
      </c>
      <c r="L604" t="s">
        <v>86</v>
      </c>
      <c r="M604" t="s">
        <v>6</v>
      </c>
    </row>
    <row r="605" spans="1:13" x14ac:dyDescent="0.25">
      <c r="A605" s="3" t="s">
        <v>85</v>
      </c>
      <c r="B605" s="4">
        <v>15</v>
      </c>
      <c r="C605" s="4"/>
      <c r="D605" s="4" t="s">
        <v>86</v>
      </c>
      <c r="E605" s="4" t="s">
        <v>6</v>
      </c>
      <c r="F605">
        <f>COUNTIFS($D$2:D605,D605)</f>
        <v>11</v>
      </c>
      <c r="G605" t="str">
        <f t="shared" si="9"/>
        <v>3871D</v>
      </c>
      <c r="H605">
        <v>5.4680635000000004</v>
      </c>
      <c r="I605">
        <v>52.174732800000001</v>
      </c>
      <c r="J605" t="s">
        <v>423</v>
      </c>
      <c r="K605" t="s">
        <v>383</v>
      </c>
      <c r="L605" t="s">
        <v>86</v>
      </c>
      <c r="M605" t="s">
        <v>6</v>
      </c>
    </row>
    <row r="606" spans="1:13" x14ac:dyDescent="0.25">
      <c r="A606" s="3" t="s">
        <v>85</v>
      </c>
      <c r="B606" s="4">
        <v>16</v>
      </c>
      <c r="C606" s="4"/>
      <c r="D606" s="4" t="s">
        <v>86</v>
      </c>
      <c r="E606" s="4" t="s">
        <v>6</v>
      </c>
      <c r="F606">
        <f>COUNTIFS($D$2:D606,D606)</f>
        <v>12</v>
      </c>
      <c r="G606" t="str">
        <f t="shared" si="9"/>
        <v>3871D</v>
      </c>
      <c r="H606">
        <v>5.4679628999999998</v>
      </c>
      <c r="I606">
        <v>52.174722199999998</v>
      </c>
      <c r="J606" t="s">
        <v>423</v>
      </c>
      <c r="K606" t="s">
        <v>371</v>
      </c>
      <c r="L606" t="s">
        <v>86</v>
      </c>
      <c r="M606" t="s">
        <v>6</v>
      </c>
    </row>
    <row r="607" spans="1:13" x14ac:dyDescent="0.25">
      <c r="A607" s="3" t="s">
        <v>87</v>
      </c>
      <c r="B607" s="4">
        <v>25</v>
      </c>
      <c r="C607" s="4"/>
      <c r="D607" s="4" t="s">
        <v>86</v>
      </c>
      <c r="E607" s="4" t="s">
        <v>6</v>
      </c>
      <c r="F607">
        <f>COUNTIFS($D$2:D607,D607)</f>
        <v>13</v>
      </c>
      <c r="G607" t="str">
        <f t="shared" si="9"/>
        <v>3871D</v>
      </c>
      <c r="H607">
        <v>5.4670728000000004</v>
      </c>
      <c r="I607">
        <v>52.174679599999997</v>
      </c>
      <c r="J607" t="s">
        <v>424</v>
      </c>
      <c r="K607" t="s">
        <v>385</v>
      </c>
      <c r="L607" t="s">
        <v>86</v>
      </c>
      <c r="M607" t="s">
        <v>6</v>
      </c>
    </row>
    <row r="608" spans="1:13" x14ac:dyDescent="0.25">
      <c r="A608" s="3" t="s">
        <v>87</v>
      </c>
      <c r="B608" s="4">
        <v>27</v>
      </c>
      <c r="C608" s="4"/>
      <c r="D608" s="4" t="s">
        <v>86</v>
      </c>
      <c r="E608" s="4" t="s">
        <v>6</v>
      </c>
      <c r="F608">
        <f>COUNTIFS($D$2:D608,D608)</f>
        <v>14</v>
      </c>
      <c r="G608" t="str">
        <f t="shared" si="9"/>
        <v>3871D</v>
      </c>
      <c r="H608">
        <v>5.4668622999999998</v>
      </c>
      <c r="I608">
        <v>52.174666999999999</v>
      </c>
      <c r="J608" t="s">
        <v>424</v>
      </c>
      <c r="K608" t="s">
        <v>393</v>
      </c>
      <c r="L608" t="s">
        <v>86</v>
      </c>
      <c r="M608" t="s">
        <v>6</v>
      </c>
    </row>
    <row r="609" spans="1:13" x14ac:dyDescent="0.25">
      <c r="A609" s="3" t="s">
        <v>87</v>
      </c>
      <c r="B609" s="4">
        <v>31</v>
      </c>
      <c r="C609" s="4"/>
      <c r="D609" s="4" t="s">
        <v>86</v>
      </c>
      <c r="E609" s="4" t="s">
        <v>6</v>
      </c>
      <c r="F609">
        <f>COUNTIFS($D$2:D609,D609)</f>
        <v>15</v>
      </c>
      <c r="G609" t="str">
        <f t="shared" si="9"/>
        <v>3871D</v>
      </c>
      <c r="H609">
        <v>5.4667009000000002</v>
      </c>
      <c r="I609">
        <v>52.174325600000003</v>
      </c>
      <c r="J609" t="s">
        <v>424</v>
      </c>
      <c r="K609" t="s">
        <v>323</v>
      </c>
      <c r="L609" t="s">
        <v>86</v>
      </c>
      <c r="M609" t="s">
        <v>6</v>
      </c>
    </row>
    <row r="610" spans="1:13" x14ac:dyDescent="0.25">
      <c r="A610" s="3" t="s">
        <v>88</v>
      </c>
      <c r="B610" s="4">
        <v>7</v>
      </c>
      <c r="C610" s="4"/>
      <c r="D610" s="4" t="s">
        <v>89</v>
      </c>
      <c r="E610" s="4" t="s">
        <v>6</v>
      </c>
      <c r="F610">
        <f>COUNTIFS($D$2:D610,D610)</f>
        <v>1</v>
      </c>
      <c r="G610" t="str">
        <f t="shared" si="9"/>
        <v>3871E</v>
      </c>
      <c r="H610">
        <v>5.4582250999999999</v>
      </c>
      <c r="I610">
        <v>52.175251699999997</v>
      </c>
      <c r="J610" t="s">
        <v>425</v>
      </c>
      <c r="K610" t="s">
        <v>358</v>
      </c>
      <c r="L610" t="s">
        <v>89</v>
      </c>
      <c r="M610" t="s">
        <v>6</v>
      </c>
    </row>
    <row r="611" spans="1:13" x14ac:dyDescent="0.25">
      <c r="A611" s="3" t="s">
        <v>88</v>
      </c>
      <c r="B611" s="4">
        <v>9</v>
      </c>
      <c r="C611" s="4"/>
      <c r="D611" s="4" t="s">
        <v>89</v>
      </c>
      <c r="E611" s="4" t="s">
        <v>6</v>
      </c>
      <c r="F611">
        <f>COUNTIFS($D$2:D611,D611)</f>
        <v>2</v>
      </c>
      <c r="G611" t="str">
        <f t="shared" si="9"/>
        <v>3871E</v>
      </c>
      <c r="H611">
        <v>5.4581324999999996</v>
      </c>
      <c r="I611">
        <v>52.175232100000002</v>
      </c>
      <c r="J611" t="s">
        <v>425</v>
      </c>
      <c r="K611" t="s">
        <v>382</v>
      </c>
      <c r="L611" t="s">
        <v>89</v>
      </c>
      <c r="M611" t="s">
        <v>6</v>
      </c>
    </row>
    <row r="612" spans="1:13" x14ac:dyDescent="0.25">
      <c r="A612" s="3" t="s">
        <v>88</v>
      </c>
      <c r="B612" s="4">
        <v>11</v>
      </c>
      <c r="C612" s="4"/>
      <c r="D612" s="4" t="s">
        <v>89</v>
      </c>
      <c r="E612" s="4" t="s">
        <v>6</v>
      </c>
      <c r="F612">
        <f>COUNTIFS($D$2:D612,D612)</f>
        <v>3</v>
      </c>
      <c r="G612" t="str">
        <f t="shared" si="9"/>
        <v>3871E</v>
      </c>
      <c r="H612">
        <v>5.4580485000000003</v>
      </c>
      <c r="I612">
        <v>52.175228699999998</v>
      </c>
      <c r="J612" t="s">
        <v>425</v>
      </c>
      <c r="K612" t="s">
        <v>391</v>
      </c>
      <c r="L612" t="s">
        <v>89</v>
      </c>
      <c r="M612" t="s">
        <v>6</v>
      </c>
    </row>
    <row r="613" spans="1:13" x14ac:dyDescent="0.25">
      <c r="A613" s="3" t="s">
        <v>88</v>
      </c>
      <c r="B613" s="4">
        <v>13</v>
      </c>
      <c r="C613" s="4"/>
      <c r="D613" s="4" t="s">
        <v>89</v>
      </c>
      <c r="E613" s="4" t="s">
        <v>6</v>
      </c>
      <c r="F613">
        <f>COUNTIFS($D$2:D613,D613)</f>
        <v>4</v>
      </c>
      <c r="G613" t="str">
        <f t="shared" si="9"/>
        <v>3871E</v>
      </c>
      <c r="H613">
        <v>5.4579646999999998</v>
      </c>
      <c r="I613">
        <v>52.175225400000002</v>
      </c>
      <c r="J613" t="s">
        <v>425</v>
      </c>
      <c r="K613" t="s">
        <v>359</v>
      </c>
      <c r="L613" t="s">
        <v>89</v>
      </c>
      <c r="M613" t="s">
        <v>6</v>
      </c>
    </row>
    <row r="614" spans="1:13" x14ac:dyDescent="0.25">
      <c r="A614" s="3" t="s">
        <v>88</v>
      </c>
      <c r="B614" s="4">
        <v>15</v>
      </c>
      <c r="C614" s="4"/>
      <c r="D614" s="4" t="s">
        <v>89</v>
      </c>
      <c r="E614" s="4" t="s">
        <v>6</v>
      </c>
      <c r="F614">
        <f>COUNTIFS($D$2:D614,D614)</f>
        <v>5</v>
      </c>
      <c r="G614" t="str">
        <f t="shared" si="9"/>
        <v>3871E</v>
      </c>
      <c r="H614">
        <v>5.4579306000000001</v>
      </c>
      <c r="I614">
        <v>52.174951399999998</v>
      </c>
      <c r="J614" t="s">
        <v>425</v>
      </c>
      <c r="K614" t="s">
        <v>383</v>
      </c>
      <c r="L614" t="s">
        <v>89</v>
      </c>
      <c r="M614" t="s">
        <v>6</v>
      </c>
    </row>
    <row r="615" spans="1:13" x14ac:dyDescent="0.25">
      <c r="A615" s="3" t="s">
        <v>88</v>
      </c>
      <c r="B615" s="4">
        <v>17</v>
      </c>
      <c r="C615" s="4"/>
      <c r="D615" s="4" t="s">
        <v>89</v>
      </c>
      <c r="E615" s="4" t="s">
        <v>6</v>
      </c>
      <c r="F615">
        <f>COUNTIFS($D$2:D615,D615)</f>
        <v>6</v>
      </c>
      <c r="G615" t="str">
        <f t="shared" si="9"/>
        <v>3871E</v>
      </c>
      <c r="H615">
        <v>5.4579307999999997</v>
      </c>
      <c r="I615">
        <v>52.174951399999998</v>
      </c>
      <c r="J615" t="s">
        <v>425</v>
      </c>
      <c r="K615" t="s">
        <v>360</v>
      </c>
      <c r="L615" t="s">
        <v>89</v>
      </c>
      <c r="M615" t="s">
        <v>6</v>
      </c>
    </row>
    <row r="616" spans="1:13" x14ac:dyDescent="0.25">
      <c r="A616" s="3" t="s">
        <v>88</v>
      </c>
      <c r="B616" s="4">
        <v>19</v>
      </c>
      <c r="C616" s="4"/>
      <c r="D616" s="4" t="s">
        <v>89</v>
      </c>
      <c r="E616" s="4" t="s">
        <v>6</v>
      </c>
      <c r="F616">
        <f>COUNTIFS($D$2:D616,D616)</f>
        <v>7</v>
      </c>
      <c r="G616" t="str">
        <f t="shared" si="9"/>
        <v>3871E</v>
      </c>
      <c r="H616">
        <v>5.4579310000000003</v>
      </c>
      <c r="I616">
        <v>52.174951399999998</v>
      </c>
      <c r="J616" t="s">
        <v>425</v>
      </c>
      <c r="K616" t="s">
        <v>361</v>
      </c>
      <c r="L616" t="s">
        <v>89</v>
      </c>
      <c r="M616" t="s">
        <v>6</v>
      </c>
    </row>
    <row r="617" spans="1:13" x14ac:dyDescent="0.25">
      <c r="A617" s="3" t="s">
        <v>88</v>
      </c>
      <c r="B617" s="4">
        <v>21</v>
      </c>
      <c r="C617" s="4"/>
      <c r="D617" s="4" t="s">
        <v>89</v>
      </c>
      <c r="E617" s="4" t="s">
        <v>6</v>
      </c>
      <c r="F617">
        <f>COUNTIFS($D$2:D617,D617)</f>
        <v>8</v>
      </c>
      <c r="G617" t="str">
        <f t="shared" si="9"/>
        <v>3871E</v>
      </c>
      <c r="H617">
        <v>5.4579312</v>
      </c>
      <c r="I617">
        <v>52.174951499999999</v>
      </c>
      <c r="J617" t="s">
        <v>425</v>
      </c>
      <c r="K617" t="s">
        <v>362</v>
      </c>
      <c r="L617" t="s">
        <v>89</v>
      </c>
      <c r="M617" t="s">
        <v>6</v>
      </c>
    </row>
    <row r="618" spans="1:13" x14ac:dyDescent="0.25">
      <c r="A618" s="3" t="s">
        <v>88</v>
      </c>
      <c r="B618" s="4">
        <v>23</v>
      </c>
      <c r="C618" s="4"/>
      <c r="D618" s="4" t="s">
        <v>89</v>
      </c>
      <c r="E618" s="4" t="s">
        <v>6</v>
      </c>
      <c r="F618">
        <f>COUNTIFS($D$2:D618,D618)</f>
        <v>9</v>
      </c>
      <c r="G618" t="str">
        <f t="shared" si="9"/>
        <v>3871E</v>
      </c>
      <c r="H618">
        <v>5.4579313999999997</v>
      </c>
      <c r="I618">
        <v>52.174951499999999</v>
      </c>
      <c r="J618" t="s">
        <v>425</v>
      </c>
      <c r="K618" t="s">
        <v>384</v>
      </c>
      <c r="L618" t="s">
        <v>89</v>
      </c>
      <c r="M618" t="s">
        <v>6</v>
      </c>
    </row>
    <row r="619" spans="1:13" x14ac:dyDescent="0.25">
      <c r="A619" s="3" t="s">
        <v>88</v>
      </c>
      <c r="B619" s="4">
        <v>25</v>
      </c>
      <c r="C619" s="4"/>
      <c r="D619" s="4" t="s">
        <v>89</v>
      </c>
      <c r="E619" s="4" t="s">
        <v>6</v>
      </c>
      <c r="F619">
        <f>COUNTIFS($D$2:D619,D619)</f>
        <v>10</v>
      </c>
      <c r="G619" t="str">
        <f t="shared" si="9"/>
        <v>3871E</v>
      </c>
      <c r="H619">
        <v>5.4579316000000002</v>
      </c>
      <c r="I619">
        <v>52.174951499999999</v>
      </c>
      <c r="J619" t="s">
        <v>425</v>
      </c>
      <c r="K619" t="s">
        <v>385</v>
      </c>
      <c r="L619" t="s">
        <v>89</v>
      </c>
      <c r="M619" t="s">
        <v>6</v>
      </c>
    </row>
    <row r="620" spans="1:13" x14ac:dyDescent="0.25">
      <c r="A620" s="3" t="s">
        <v>88</v>
      </c>
      <c r="B620" s="4">
        <v>27</v>
      </c>
      <c r="C620" s="4"/>
      <c r="D620" s="4" t="s">
        <v>89</v>
      </c>
      <c r="E620" s="4" t="s">
        <v>6</v>
      </c>
      <c r="F620">
        <f>COUNTIFS($D$2:D620,D620)</f>
        <v>11</v>
      </c>
      <c r="G620" t="str">
        <f t="shared" si="9"/>
        <v>3871E</v>
      </c>
      <c r="H620">
        <v>5.4579317999999999</v>
      </c>
      <c r="I620">
        <v>52.174951499999999</v>
      </c>
      <c r="J620" t="s">
        <v>425</v>
      </c>
      <c r="K620" t="s">
        <v>393</v>
      </c>
      <c r="L620" t="s">
        <v>89</v>
      </c>
      <c r="M620" t="s">
        <v>6</v>
      </c>
    </row>
    <row r="621" spans="1:13" x14ac:dyDescent="0.25">
      <c r="A621" s="3" t="s">
        <v>88</v>
      </c>
      <c r="B621" s="4">
        <v>29</v>
      </c>
      <c r="C621" s="4"/>
      <c r="D621" s="4" t="s">
        <v>89</v>
      </c>
      <c r="E621" s="4" t="s">
        <v>6</v>
      </c>
      <c r="F621">
        <f>COUNTIFS($D$2:D621,D621)</f>
        <v>12</v>
      </c>
      <c r="G621" t="str">
        <f t="shared" si="9"/>
        <v>3871E</v>
      </c>
      <c r="H621">
        <v>5.4579319999999996</v>
      </c>
      <c r="I621">
        <v>52.174951499999999</v>
      </c>
      <c r="J621" t="s">
        <v>425</v>
      </c>
      <c r="K621" t="s">
        <v>364</v>
      </c>
      <c r="L621" t="s">
        <v>89</v>
      </c>
      <c r="M621" t="s">
        <v>6</v>
      </c>
    </row>
    <row r="622" spans="1:13" x14ac:dyDescent="0.25">
      <c r="A622" s="3" t="s">
        <v>88</v>
      </c>
      <c r="B622" s="4">
        <v>31</v>
      </c>
      <c r="C622" s="4"/>
      <c r="D622" s="4" t="s">
        <v>89</v>
      </c>
      <c r="E622" s="4" t="s">
        <v>6</v>
      </c>
      <c r="F622">
        <f>COUNTIFS($D$2:D622,D622)</f>
        <v>13</v>
      </c>
      <c r="G622" t="str">
        <f t="shared" si="9"/>
        <v>3871E</v>
      </c>
      <c r="H622">
        <v>5.4579322000000001</v>
      </c>
      <c r="I622">
        <v>52.174951499999999</v>
      </c>
      <c r="J622" t="s">
        <v>425</v>
      </c>
      <c r="K622" t="s">
        <v>323</v>
      </c>
      <c r="L622" t="s">
        <v>89</v>
      </c>
      <c r="M622" t="s">
        <v>6</v>
      </c>
    </row>
    <row r="623" spans="1:13" x14ac:dyDescent="0.25">
      <c r="A623" s="3" t="s">
        <v>88</v>
      </c>
      <c r="B623" s="4">
        <v>33</v>
      </c>
      <c r="C623" s="4"/>
      <c r="D623" s="4" t="s">
        <v>89</v>
      </c>
      <c r="E623" s="4" t="s">
        <v>6</v>
      </c>
      <c r="F623">
        <f>COUNTIFS($D$2:D623,D623)</f>
        <v>14</v>
      </c>
      <c r="G623" t="str">
        <f t="shared" si="9"/>
        <v>3871E</v>
      </c>
      <c r="H623">
        <v>5.4579323999999998</v>
      </c>
      <c r="I623">
        <v>52.1749516</v>
      </c>
      <c r="J623" t="s">
        <v>425</v>
      </c>
      <c r="K623" t="s">
        <v>365</v>
      </c>
      <c r="L623" t="s">
        <v>89</v>
      </c>
      <c r="M623" t="s">
        <v>6</v>
      </c>
    </row>
    <row r="624" spans="1:13" x14ac:dyDescent="0.25">
      <c r="A624" s="3" t="s">
        <v>88</v>
      </c>
      <c r="B624" s="4">
        <v>35</v>
      </c>
      <c r="C624" s="4"/>
      <c r="D624" s="4" t="s">
        <v>89</v>
      </c>
      <c r="E624" s="4" t="s">
        <v>6</v>
      </c>
      <c r="F624">
        <f>COUNTIFS($D$2:D624,D624)</f>
        <v>15</v>
      </c>
      <c r="G624" t="str">
        <f t="shared" si="9"/>
        <v>3871E</v>
      </c>
      <c r="H624">
        <v>5.4579326000000004</v>
      </c>
      <c r="I624">
        <v>52.1749516</v>
      </c>
      <c r="J624" t="s">
        <v>425</v>
      </c>
      <c r="K624" t="s">
        <v>366</v>
      </c>
      <c r="L624" t="s">
        <v>89</v>
      </c>
      <c r="M624" t="s">
        <v>6</v>
      </c>
    </row>
    <row r="625" spans="1:13" x14ac:dyDescent="0.25">
      <c r="A625" s="3" t="s">
        <v>88</v>
      </c>
      <c r="B625" s="4">
        <v>37</v>
      </c>
      <c r="C625" s="4"/>
      <c r="D625" s="4" t="s">
        <v>89</v>
      </c>
      <c r="E625" s="4" t="s">
        <v>6</v>
      </c>
      <c r="F625">
        <f>COUNTIFS($D$2:D625,D625)</f>
        <v>16</v>
      </c>
      <c r="G625" t="str">
        <f t="shared" si="9"/>
        <v>3871E</v>
      </c>
      <c r="H625">
        <v>5.4579328</v>
      </c>
      <c r="I625">
        <v>52.1749516</v>
      </c>
      <c r="J625" t="s">
        <v>425</v>
      </c>
      <c r="K625" t="s">
        <v>367</v>
      </c>
      <c r="L625" t="s">
        <v>89</v>
      </c>
      <c r="M625" t="s">
        <v>6</v>
      </c>
    </row>
    <row r="626" spans="1:13" x14ac:dyDescent="0.25">
      <c r="A626" s="3" t="s">
        <v>88</v>
      </c>
      <c r="B626" s="4">
        <v>39</v>
      </c>
      <c r="C626" s="4"/>
      <c r="D626" s="4" t="s">
        <v>89</v>
      </c>
      <c r="E626" s="4" t="s">
        <v>6</v>
      </c>
      <c r="F626">
        <f>COUNTIFS($D$2:D626,D626)</f>
        <v>17</v>
      </c>
      <c r="G626" t="str">
        <f t="shared" si="9"/>
        <v>3871E</v>
      </c>
      <c r="H626">
        <v>5.4579329999999997</v>
      </c>
      <c r="I626">
        <v>52.1749516</v>
      </c>
      <c r="J626" t="s">
        <v>425</v>
      </c>
      <c r="K626" t="s">
        <v>368</v>
      </c>
      <c r="L626" t="s">
        <v>89</v>
      </c>
      <c r="M626" t="s">
        <v>6</v>
      </c>
    </row>
    <row r="627" spans="1:13" x14ac:dyDescent="0.25">
      <c r="A627" s="3" t="s">
        <v>88</v>
      </c>
      <c r="B627" s="4">
        <v>41</v>
      </c>
      <c r="C627" s="4"/>
      <c r="D627" s="4" t="s">
        <v>89</v>
      </c>
      <c r="E627" s="4" t="s">
        <v>6</v>
      </c>
      <c r="F627">
        <f>COUNTIFS($D$2:D627,D627)</f>
        <v>18</v>
      </c>
      <c r="G627" t="str">
        <f t="shared" si="9"/>
        <v>3871E</v>
      </c>
      <c r="H627">
        <v>5.4579332000000003</v>
      </c>
      <c r="I627">
        <v>52.1749516</v>
      </c>
      <c r="J627" t="s">
        <v>425</v>
      </c>
      <c r="K627" t="s">
        <v>325</v>
      </c>
      <c r="L627" t="s">
        <v>89</v>
      </c>
      <c r="M627" t="s">
        <v>6</v>
      </c>
    </row>
    <row r="628" spans="1:13" x14ac:dyDescent="0.25">
      <c r="A628" s="3" t="s">
        <v>88</v>
      </c>
      <c r="B628" s="4">
        <v>43</v>
      </c>
      <c r="C628" s="4"/>
      <c r="D628" s="4" t="s">
        <v>89</v>
      </c>
      <c r="E628" s="4" t="s">
        <v>6</v>
      </c>
      <c r="F628">
        <f>COUNTIFS($D$2:D628,D628)</f>
        <v>19</v>
      </c>
      <c r="G628" t="str">
        <f t="shared" si="9"/>
        <v>3871E</v>
      </c>
      <c r="H628">
        <v>5.4579333999999999</v>
      </c>
      <c r="I628">
        <v>52.174951700000001</v>
      </c>
      <c r="J628" t="s">
        <v>425</v>
      </c>
      <c r="K628" t="s">
        <v>326</v>
      </c>
      <c r="L628" t="s">
        <v>89</v>
      </c>
      <c r="M628" t="s">
        <v>6</v>
      </c>
    </row>
    <row r="629" spans="1:13" x14ac:dyDescent="0.25">
      <c r="A629" s="3" t="s">
        <v>88</v>
      </c>
      <c r="B629" s="4">
        <v>45</v>
      </c>
      <c r="C629" s="4"/>
      <c r="D629" s="4" t="s">
        <v>89</v>
      </c>
      <c r="E629" s="4" t="s">
        <v>6</v>
      </c>
      <c r="F629">
        <f>COUNTIFS($D$2:D629,D629)</f>
        <v>20</v>
      </c>
      <c r="G629" t="str">
        <f t="shared" si="9"/>
        <v>3871E</v>
      </c>
      <c r="H629">
        <v>5.4579335999999996</v>
      </c>
      <c r="I629">
        <v>52.174951700000001</v>
      </c>
      <c r="J629" t="s">
        <v>425</v>
      </c>
      <c r="K629" t="s">
        <v>327</v>
      </c>
      <c r="L629" t="s">
        <v>89</v>
      </c>
      <c r="M629" t="s">
        <v>6</v>
      </c>
    </row>
    <row r="630" spans="1:13" x14ac:dyDescent="0.25">
      <c r="A630" s="3" t="s">
        <v>88</v>
      </c>
      <c r="B630" s="4">
        <v>47</v>
      </c>
      <c r="C630" s="4"/>
      <c r="D630" s="4" t="s">
        <v>89</v>
      </c>
      <c r="E630" s="4" t="s">
        <v>6</v>
      </c>
      <c r="F630">
        <f>COUNTIFS($D$2:D630,D630)</f>
        <v>21</v>
      </c>
      <c r="G630" t="str">
        <f t="shared" si="9"/>
        <v>3871E</v>
      </c>
      <c r="H630">
        <v>5.4581913999999996</v>
      </c>
      <c r="I630">
        <v>52.174895100000001</v>
      </c>
      <c r="J630" t="s">
        <v>425</v>
      </c>
      <c r="K630" t="s">
        <v>328</v>
      </c>
      <c r="L630" t="s">
        <v>89</v>
      </c>
      <c r="M630" t="s">
        <v>6</v>
      </c>
    </row>
    <row r="631" spans="1:13" x14ac:dyDescent="0.25">
      <c r="A631" s="3" t="s">
        <v>88</v>
      </c>
      <c r="B631" s="4">
        <v>49</v>
      </c>
      <c r="C631" s="4"/>
      <c r="D631" s="4" t="s">
        <v>89</v>
      </c>
      <c r="E631" s="4" t="s">
        <v>6</v>
      </c>
      <c r="F631">
        <f>COUNTIFS($D$2:D631,D631)</f>
        <v>22</v>
      </c>
      <c r="G631" t="str">
        <f t="shared" si="9"/>
        <v>3871E</v>
      </c>
      <c r="H631">
        <v>5.4579338000000002</v>
      </c>
      <c r="I631">
        <v>52.174951700000001</v>
      </c>
      <c r="J631" t="s">
        <v>425</v>
      </c>
      <c r="K631" t="s">
        <v>329</v>
      </c>
      <c r="L631" t="s">
        <v>89</v>
      </c>
      <c r="M631" t="s">
        <v>6</v>
      </c>
    </row>
    <row r="632" spans="1:13" x14ac:dyDescent="0.25">
      <c r="A632" s="3" t="s">
        <v>88</v>
      </c>
      <c r="B632" s="4">
        <v>51</v>
      </c>
      <c r="C632" s="4"/>
      <c r="D632" s="4" t="s">
        <v>89</v>
      </c>
      <c r="E632" s="4" t="s">
        <v>6</v>
      </c>
      <c r="F632">
        <f>COUNTIFS($D$2:D632,D632)</f>
        <v>23</v>
      </c>
      <c r="G632" t="str">
        <f t="shared" si="9"/>
        <v>3871E</v>
      </c>
      <c r="H632">
        <v>5.4579339999999998</v>
      </c>
      <c r="I632">
        <v>52.174951700000001</v>
      </c>
      <c r="J632" t="s">
        <v>425</v>
      </c>
      <c r="K632" t="s">
        <v>331</v>
      </c>
      <c r="L632" t="s">
        <v>89</v>
      </c>
      <c r="M632" t="s">
        <v>6</v>
      </c>
    </row>
    <row r="633" spans="1:13" x14ac:dyDescent="0.25">
      <c r="A633" s="3" t="s">
        <v>88</v>
      </c>
      <c r="B633" s="4">
        <v>53</v>
      </c>
      <c r="C633" s="4"/>
      <c r="D633" s="4" t="s">
        <v>89</v>
      </c>
      <c r="E633" s="4" t="s">
        <v>6</v>
      </c>
      <c r="F633">
        <f>COUNTIFS($D$2:D633,D633)</f>
        <v>24</v>
      </c>
      <c r="G633" t="str">
        <f t="shared" si="9"/>
        <v>3871E</v>
      </c>
      <c r="H633">
        <v>5.4579342000000004</v>
      </c>
      <c r="I633">
        <v>52.174951700000001</v>
      </c>
      <c r="J633" t="s">
        <v>425</v>
      </c>
      <c r="K633" t="s">
        <v>332</v>
      </c>
      <c r="L633" t="s">
        <v>89</v>
      </c>
      <c r="M633" t="s">
        <v>6</v>
      </c>
    </row>
    <row r="634" spans="1:13" x14ac:dyDescent="0.25">
      <c r="A634" s="3" t="s">
        <v>88</v>
      </c>
      <c r="B634" s="4">
        <v>55</v>
      </c>
      <c r="C634" s="4"/>
      <c r="D634" s="4" t="s">
        <v>89</v>
      </c>
      <c r="E634" s="4" t="s">
        <v>6</v>
      </c>
      <c r="F634">
        <f>COUNTIFS($D$2:D634,D634)</f>
        <v>25</v>
      </c>
      <c r="G634" t="str">
        <f t="shared" si="9"/>
        <v>3871E</v>
      </c>
      <c r="H634">
        <v>5.4579344000000001</v>
      </c>
      <c r="I634">
        <v>52.174951700000001</v>
      </c>
      <c r="J634" t="s">
        <v>425</v>
      </c>
      <c r="K634" t="s">
        <v>333</v>
      </c>
      <c r="L634" t="s">
        <v>89</v>
      </c>
      <c r="M634" t="s">
        <v>6</v>
      </c>
    </row>
    <row r="635" spans="1:13" x14ac:dyDescent="0.25">
      <c r="A635" s="3" t="s">
        <v>88</v>
      </c>
      <c r="B635" s="4">
        <v>57</v>
      </c>
      <c r="C635" s="4"/>
      <c r="D635" s="4" t="s">
        <v>89</v>
      </c>
      <c r="E635" s="4" t="s">
        <v>6</v>
      </c>
      <c r="F635">
        <f>COUNTIFS($D$2:D635,D635)</f>
        <v>26</v>
      </c>
      <c r="G635" t="str">
        <f t="shared" si="9"/>
        <v>3871E</v>
      </c>
      <c r="H635">
        <v>5.4579345999999997</v>
      </c>
      <c r="I635">
        <v>52.174951800000002</v>
      </c>
      <c r="J635" t="s">
        <v>425</v>
      </c>
      <c r="K635" t="s">
        <v>334</v>
      </c>
      <c r="L635" t="s">
        <v>89</v>
      </c>
      <c r="M635" t="s">
        <v>6</v>
      </c>
    </row>
    <row r="636" spans="1:13" x14ac:dyDescent="0.25">
      <c r="A636" s="3" t="s">
        <v>88</v>
      </c>
      <c r="B636" s="4">
        <v>59</v>
      </c>
      <c r="C636" s="4"/>
      <c r="D636" s="4" t="s">
        <v>89</v>
      </c>
      <c r="E636" s="4" t="s">
        <v>6</v>
      </c>
      <c r="F636">
        <f>COUNTIFS($D$2:D636,D636)</f>
        <v>27</v>
      </c>
      <c r="G636" t="str">
        <f t="shared" si="9"/>
        <v>3871E</v>
      </c>
      <c r="H636">
        <v>5.4579348000000003</v>
      </c>
      <c r="I636">
        <v>52.174951800000002</v>
      </c>
      <c r="J636" t="s">
        <v>425</v>
      </c>
      <c r="K636" t="s">
        <v>335</v>
      </c>
      <c r="L636" t="s">
        <v>89</v>
      </c>
      <c r="M636" t="s">
        <v>6</v>
      </c>
    </row>
    <row r="637" spans="1:13" x14ac:dyDescent="0.25">
      <c r="A637" s="3" t="s">
        <v>88</v>
      </c>
      <c r="B637" s="4">
        <v>61</v>
      </c>
      <c r="C637" s="4"/>
      <c r="D637" s="4" t="s">
        <v>89</v>
      </c>
      <c r="E637" s="4" t="s">
        <v>6</v>
      </c>
      <c r="F637">
        <f>COUNTIFS($D$2:D637,D637)</f>
        <v>28</v>
      </c>
      <c r="G637" t="str">
        <f t="shared" si="9"/>
        <v>3871E</v>
      </c>
      <c r="H637">
        <v>5.457935</v>
      </c>
      <c r="I637">
        <v>52.174951800000002</v>
      </c>
      <c r="J637" t="s">
        <v>425</v>
      </c>
      <c r="K637" t="s">
        <v>336</v>
      </c>
      <c r="L637" t="s">
        <v>89</v>
      </c>
      <c r="M637" t="s">
        <v>6</v>
      </c>
    </row>
    <row r="638" spans="1:13" x14ac:dyDescent="0.25">
      <c r="A638" s="3" t="s">
        <v>90</v>
      </c>
      <c r="B638" s="4">
        <v>1</v>
      </c>
      <c r="C638" s="4"/>
      <c r="D638" s="4" t="s">
        <v>91</v>
      </c>
      <c r="E638" s="4" t="s">
        <v>6</v>
      </c>
      <c r="F638">
        <f>COUNTIFS($D$2:D638,D638)</f>
        <v>1</v>
      </c>
      <c r="G638" t="str">
        <f t="shared" si="9"/>
        <v>3871E</v>
      </c>
      <c r="H638">
        <v>5.4592625000000004</v>
      </c>
      <c r="I638">
        <v>52.175921299999999</v>
      </c>
      <c r="J638" t="s">
        <v>426</v>
      </c>
      <c r="K638" t="s">
        <v>355</v>
      </c>
      <c r="L638" t="s">
        <v>91</v>
      </c>
      <c r="M638" t="s">
        <v>6</v>
      </c>
    </row>
    <row r="639" spans="1:13" x14ac:dyDescent="0.25">
      <c r="A639" s="3" t="s">
        <v>90</v>
      </c>
      <c r="B639" s="4">
        <v>3</v>
      </c>
      <c r="C639" s="4"/>
      <c r="D639" s="4" t="s">
        <v>91</v>
      </c>
      <c r="E639" s="4" t="s">
        <v>6</v>
      </c>
      <c r="F639">
        <f>COUNTIFS($D$2:D639,D639)</f>
        <v>2</v>
      </c>
      <c r="G639" t="str">
        <f t="shared" si="9"/>
        <v>3871E</v>
      </c>
      <c r="H639">
        <v>5.4592476999999997</v>
      </c>
      <c r="I639">
        <v>52.175795399999998</v>
      </c>
      <c r="J639" t="s">
        <v>426</v>
      </c>
      <c r="K639" t="s">
        <v>356</v>
      </c>
      <c r="L639" t="s">
        <v>91</v>
      </c>
      <c r="M639" t="s">
        <v>6</v>
      </c>
    </row>
    <row r="640" spans="1:13" x14ac:dyDescent="0.25">
      <c r="A640" s="3" t="s">
        <v>90</v>
      </c>
      <c r="B640" s="4">
        <v>7</v>
      </c>
      <c r="C640" s="4"/>
      <c r="D640" s="4" t="s">
        <v>91</v>
      </c>
      <c r="E640" s="4" t="s">
        <v>6</v>
      </c>
      <c r="F640">
        <f>COUNTIFS($D$2:D640,D640)</f>
        <v>3</v>
      </c>
      <c r="G640" t="str">
        <f t="shared" si="9"/>
        <v>3871E</v>
      </c>
      <c r="H640">
        <v>5.4593936000000003</v>
      </c>
      <c r="I640">
        <v>52.1756156</v>
      </c>
      <c r="J640" t="s">
        <v>426</v>
      </c>
      <c r="K640" t="s">
        <v>358</v>
      </c>
      <c r="L640" t="s">
        <v>91</v>
      </c>
      <c r="M640" t="s">
        <v>6</v>
      </c>
    </row>
    <row r="641" spans="1:13" x14ac:dyDescent="0.25">
      <c r="A641" s="3" t="s">
        <v>90</v>
      </c>
      <c r="B641" s="4">
        <v>9</v>
      </c>
      <c r="C641" s="4"/>
      <c r="D641" s="4" t="s">
        <v>91</v>
      </c>
      <c r="E641" s="4" t="s">
        <v>6</v>
      </c>
      <c r="F641">
        <f>COUNTIFS($D$2:D641,D641)</f>
        <v>4</v>
      </c>
      <c r="G641" t="str">
        <f t="shared" si="9"/>
        <v>3871E</v>
      </c>
      <c r="H641">
        <v>5.4593935</v>
      </c>
      <c r="I641">
        <v>52.175561700000003</v>
      </c>
      <c r="J641" t="s">
        <v>426</v>
      </c>
      <c r="K641" t="s">
        <v>382</v>
      </c>
      <c r="L641" t="s">
        <v>91</v>
      </c>
      <c r="M641" t="s">
        <v>6</v>
      </c>
    </row>
    <row r="642" spans="1:13" x14ac:dyDescent="0.25">
      <c r="A642" s="3" t="s">
        <v>90</v>
      </c>
      <c r="B642" s="4">
        <v>11</v>
      </c>
      <c r="C642" s="4"/>
      <c r="D642" s="4" t="s">
        <v>91</v>
      </c>
      <c r="E642" s="4" t="s">
        <v>6</v>
      </c>
      <c r="F642">
        <f>COUNTIFS($D$2:D642,D642)</f>
        <v>5</v>
      </c>
      <c r="G642" t="str">
        <f t="shared" ref="G642:G705" si="10">LEFT(A642,5)</f>
        <v>3871E</v>
      </c>
      <c r="H642">
        <v>5.4594079000000004</v>
      </c>
      <c r="I642">
        <v>52.175435800000002</v>
      </c>
      <c r="J642" t="s">
        <v>426</v>
      </c>
      <c r="K642" t="s">
        <v>391</v>
      </c>
      <c r="L642" t="s">
        <v>91</v>
      </c>
      <c r="M642" t="s">
        <v>6</v>
      </c>
    </row>
    <row r="643" spans="1:13" x14ac:dyDescent="0.25">
      <c r="A643" s="3" t="s">
        <v>90</v>
      </c>
      <c r="B643" s="4">
        <v>23</v>
      </c>
      <c r="C643" s="4"/>
      <c r="D643" s="4" t="s">
        <v>91</v>
      </c>
      <c r="E643" s="4" t="s">
        <v>6</v>
      </c>
      <c r="F643">
        <f>COUNTIFS($D$2:D643,D643)</f>
        <v>6</v>
      </c>
      <c r="G643" t="str">
        <f t="shared" si="10"/>
        <v>3871E</v>
      </c>
      <c r="H643">
        <v>5.4593920999999996</v>
      </c>
      <c r="I643">
        <v>52.174680899999998</v>
      </c>
      <c r="J643" t="s">
        <v>426</v>
      </c>
      <c r="K643" t="s">
        <v>384</v>
      </c>
      <c r="L643" t="s">
        <v>91</v>
      </c>
      <c r="M643" t="s">
        <v>6</v>
      </c>
    </row>
    <row r="644" spans="1:13" x14ac:dyDescent="0.25">
      <c r="A644" s="3" t="s">
        <v>90</v>
      </c>
      <c r="B644" s="4">
        <v>25</v>
      </c>
      <c r="C644" s="4"/>
      <c r="D644" s="4" t="s">
        <v>91</v>
      </c>
      <c r="E644" s="4" t="s">
        <v>6</v>
      </c>
      <c r="F644">
        <f>COUNTIFS($D$2:D644,D644)</f>
        <v>7</v>
      </c>
      <c r="G644" t="str">
        <f t="shared" si="10"/>
        <v>3871E</v>
      </c>
      <c r="H644">
        <v>5.4594066000000003</v>
      </c>
      <c r="I644">
        <v>52.174617900000001</v>
      </c>
      <c r="J644" t="s">
        <v>426</v>
      </c>
      <c r="K644" t="s">
        <v>385</v>
      </c>
      <c r="L644" t="s">
        <v>91</v>
      </c>
      <c r="M644" t="s">
        <v>6</v>
      </c>
    </row>
    <row r="645" spans="1:13" x14ac:dyDescent="0.25">
      <c r="A645" s="3" t="s">
        <v>90</v>
      </c>
      <c r="B645" s="4">
        <v>27</v>
      </c>
      <c r="C645" s="4"/>
      <c r="D645" s="4" t="s">
        <v>91</v>
      </c>
      <c r="E645" s="4" t="s">
        <v>6</v>
      </c>
      <c r="F645">
        <f>COUNTIFS($D$2:D645,D645)</f>
        <v>8</v>
      </c>
      <c r="G645" t="str">
        <f t="shared" si="10"/>
        <v>3871E</v>
      </c>
      <c r="H645">
        <v>5.4594065000000001</v>
      </c>
      <c r="I645">
        <v>52.174554999999998</v>
      </c>
      <c r="J645" t="s">
        <v>426</v>
      </c>
      <c r="K645" t="s">
        <v>393</v>
      </c>
      <c r="L645" t="s">
        <v>91</v>
      </c>
      <c r="M645" t="s">
        <v>6</v>
      </c>
    </row>
    <row r="646" spans="1:13" x14ac:dyDescent="0.25">
      <c r="A646" s="3" t="s">
        <v>90</v>
      </c>
      <c r="B646" s="4">
        <v>29</v>
      </c>
      <c r="C646" s="4"/>
      <c r="D646" s="4" t="s">
        <v>91</v>
      </c>
      <c r="E646" s="4" t="s">
        <v>6</v>
      </c>
      <c r="F646">
        <f>COUNTIFS($D$2:D646,D646)</f>
        <v>9</v>
      </c>
      <c r="G646" t="str">
        <f t="shared" si="10"/>
        <v>3871E</v>
      </c>
      <c r="H646">
        <v>5.4594063999999998</v>
      </c>
      <c r="I646">
        <v>52.174501100000001</v>
      </c>
      <c r="J646" t="s">
        <v>426</v>
      </c>
      <c r="K646" t="s">
        <v>364</v>
      </c>
      <c r="L646" t="s">
        <v>91</v>
      </c>
      <c r="M646" t="s">
        <v>6</v>
      </c>
    </row>
    <row r="647" spans="1:13" x14ac:dyDescent="0.25">
      <c r="A647" s="3" t="s">
        <v>90</v>
      </c>
      <c r="B647" s="4">
        <v>31</v>
      </c>
      <c r="C647" s="4"/>
      <c r="D647" s="4" t="s">
        <v>91</v>
      </c>
      <c r="E647" s="4" t="s">
        <v>6</v>
      </c>
      <c r="F647">
        <f>COUNTIFS($D$2:D647,D647)</f>
        <v>10</v>
      </c>
      <c r="G647" t="str">
        <f t="shared" si="10"/>
        <v>3871E</v>
      </c>
      <c r="H647">
        <v>5.4594208999999996</v>
      </c>
      <c r="I647">
        <v>52.174447100000002</v>
      </c>
      <c r="J647" t="s">
        <v>426</v>
      </c>
      <c r="K647" t="s">
        <v>323</v>
      </c>
      <c r="L647" t="s">
        <v>91</v>
      </c>
      <c r="M647" t="s">
        <v>6</v>
      </c>
    </row>
    <row r="648" spans="1:13" x14ac:dyDescent="0.25">
      <c r="A648" s="3" t="s">
        <v>90</v>
      </c>
      <c r="B648" s="4">
        <v>33</v>
      </c>
      <c r="C648" s="4"/>
      <c r="D648" s="4" t="s">
        <v>91</v>
      </c>
      <c r="E648" s="4" t="s">
        <v>6</v>
      </c>
      <c r="F648">
        <f>COUNTIFS($D$2:D648,D648)</f>
        <v>11</v>
      </c>
      <c r="G648" t="str">
        <f t="shared" si="10"/>
        <v>3871E</v>
      </c>
      <c r="H648">
        <v>5.4594208000000002</v>
      </c>
      <c r="I648">
        <v>52.174393199999997</v>
      </c>
      <c r="J648" t="s">
        <v>426</v>
      </c>
      <c r="K648" t="s">
        <v>365</v>
      </c>
      <c r="L648" t="s">
        <v>91</v>
      </c>
      <c r="M648" t="s">
        <v>6</v>
      </c>
    </row>
    <row r="649" spans="1:13" x14ac:dyDescent="0.25">
      <c r="A649" s="3" t="s">
        <v>92</v>
      </c>
      <c r="B649" s="4">
        <v>43</v>
      </c>
      <c r="C649" s="4"/>
      <c r="D649" s="4" t="s">
        <v>91</v>
      </c>
      <c r="E649" s="4" t="s">
        <v>6</v>
      </c>
      <c r="F649">
        <f>COUNTIFS($D$2:D649,D649)</f>
        <v>12</v>
      </c>
      <c r="G649" t="str">
        <f t="shared" si="10"/>
        <v>3871E</v>
      </c>
      <c r="H649">
        <v>5.4595649000000002</v>
      </c>
      <c r="I649">
        <v>52.173089900000001</v>
      </c>
      <c r="J649" t="s">
        <v>427</v>
      </c>
      <c r="K649" t="s">
        <v>326</v>
      </c>
      <c r="L649" t="s">
        <v>91</v>
      </c>
      <c r="M649" t="s">
        <v>6</v>
      </c>
    </row>
    <row r="650" spans="1:13" x14ac:dyDescent="0.25">
      <c r="A650" s="3" t="s">
        <v>92</v>
      </c>
      <c r="B650" s="4">
        <v>45</v>
      </c>
      <c r="C650" s="4"/>
      <c r="D650" s="4" t="s">
        <v>91</v>
      </c>
      <c r="E650" s="4" t="s">
        <v>6</v>
      </c>
      <c r="F650">
        <f>COUNTIFS($D$2:D650,D650)</f>
        <v>13</v>
      </c>
      <c r="G650" t="str">
        <f t="shared" si="10"/>
        <v>3871E</v>
      </c>
      <c r="H650">
        <v>5.4595647999999999</v>
      </c>
      <c r="I650">
        <v>52.173009</v>
      </c>
      <c r="J650" t="s">
        <v>427</v>
      </c>
      <c r="K650" t="s">
        <v>327</v>
      </c>
      <c r="L650" t="s">
        <v>91</v>
      </c>
      <c r="M650" t="s">
        <v>6</v>
      </c>
    </row>
    <row r="651" spans="1:13" x14ac:dyDescent="0.25">
      <c r="A651" s="3" t="s">
        <v>92</v>
      </c>
      <c r="B651" s="4">
        <v>47</v>
      </c>
      <c r="C651" s="4"/>
      <c r="D651" s="4" t="s">
        <v>91</v>
      </c>
      <c r="E651" s="4" t="s">
        <v>6</v>
      </c>
      <c r="F651">
        <f>COUNTIFS($D$2:D651,D651)</f>
        <v>14</v>
      </c>
      <c r="G651" t="str">
        <f t="shared" si="10"/>
        <v>3871E</v>
      </c>
      <c r="H651">
        <v>5.4595792999999997</v>
      </c>
      <c r="I651">
        <v>52.172919100000001</v>
      </c>
      <c r="J651" t="s">
        <v>427</v>
      </c>
      <c r="K651" t="s">
        <v>328</v>
      </c>
      <c r="L651" t="s">
        <v>91</v>
      </c>
      <c r="M651" t="s">
        <v>6</v>
      </c>
    </row>
    <row r="652" spans="1:13" x14ac:dyDescent="0.25">
      <c r="A652" s="3" t="s">
        <v>92</v>
      </c>
      <c r="B652" s="4">
        <v>49</v>
      </c>
      <c r="C652" s="4"/>
      <c r="D652" s="4" t="s">
        <v>91</v>
      </c>
      <c r="E652" s="4" t="s">
        <v>6</v>
      </c>
      <c r="F652">
        <f>COUNTIFS($D$2:D652,D652)</f>
        <v>15</v>
      </c>
      <c r="G652" t="str">
        <f t="shared" si="10"/>
        <v>3871E</v>
      </c>
      <c r="H652">
        <v>5.4596083999999996</v>
      </c>
      <c r="I652">
        <v>52.1728472</v>
      </c>
      <c r="J652" t="s">
        <v>427</v>
      </c>
      <c r="K652" t="s">
        <v>329</v>
      </c>
      <c r="L652" t="s">
        <v>91</v>
      </c>
      <c r="M652" t="s">
        <v>6</v>
      </c>
    </row>
    <row r="653" spans="1:13" x14ac:dyDescent="0.25">
      <c r="A653" s="3" t="s">
        <v>92</v>
      </c>
      <c r="B653" s="4">
        <v>53</v>
      </c>
      <c r="C653" s="4"/>
      <c r="D653" s="4" t="s">
        <v>91</v>
      </c>
      <c r="E653" s="4" t="s">
        <v>6</v>
      </c>
      <c r="F653">
        <f>COUNTIFS($D$2:D653,D653)</f>
        <v>16</v>
      </c>
      <c r="G653" t="str">
        <f t="shared" si="10"/>
        <v>3871E</v>
      </c>
      <c r="H653">
        <v>5.4596372000000004</v>
      </c>
      <c r="I653">
        <v>52.1725955</v>
      </c>
      <c r="J653" t="s">
        <v>427</v>
      </c>
      <c r="K653" t="s">
        <v>332</v>
      </c>
      <c r="L653" t="s">
        <v>91</v>
      </c>
      <c r="M653" t="s">
        <v>6</v>
      </c>
    </row>
    <row r="654" spans="1:13" x14ac:dyDescent="0.25">
      <c r="A654" s="3" t="s">
        <v>92</v>
      </c>
      <c r="B654" s="4">
        <v>59</v>
      </c>
      <c r="C654" s="4"/>
      <c r="D654" s="4" t="s">
        <v>91</v>
      </c>
      <c r="E654" s="4" t="s">
        <v>6</v>
      </c>
      <c r="F654">
        <f>COUNTIFS($D$2:D654,D654)</f>
        <v>17</v>
      </c>
      <c r="G654" t="str">
        <f t="shared" si="10"/>
        <v>3871E</v>
      </c>
      <c r="H654">
        <v>5.4597534000000003</v>
      </c>
      <c r="I654">
        <v>52.172154999999997</v>
      </c>
      <c r="J654" t="s">
        <v>427</v>
      </c>
      <c r="K654" t="s">
        <v>335</v>
      </c>
      <c r="L654" t="s">
        <v>91</v>
      </c>
      <c r="M654" t="s">
        <v>6</v>
      </c>
    </row>
    <row r="655" spans="1:13" x14ac:dyDescent="0.25">
      <c r="A655" s="3" t="s">
        <v>92</v>
      </c>
      <c r="B655" s="4">
        <v>61</v>
      </c>
      <c r="C655" s="4"/>
      <c r="D655" s="4" t="s">
        <v>91</v>
      </c>
      <c r="E655" s="4" t="s">
        <v>6</v>
      </c>
      <c r="F655">
        <f>COUNTIFS($D$2:D655,D655)</f>
        <v>18</v>
      </c>
      <c r="G655" t="str">
        <f t="shared" si="10"/>
        <v>3871E</v>
      </c>
      <c r="H655">
        <v>5.4597533</v>
      </c>
      <c r="I655">
        <v>52.172065099999998</v>
      </c>
      <c r="J655" t="s">
        <v>427</v>
      </c>
      <c r="K655" t="s">
        <v>336</v>
      </c>
      <c r="L655" t="s">
        <v>91</v>
      </c>
      <c r="M655" t="s">
        <v>6</v>
      </c>
    </row>
    <row r="656" spans="1:13" x14ac:dyDescent="0.25">
      <c r="A656" s="3" t="s">
        <v>92</v>
      </c>
      <c r="B656" s="4">
        <v>63</v>
      </c>
      <c r="C656" s="4"/>
      <c r="D656" s="4" t="s">
        <v>91</v>
      </c>
      <c r="E656" s="4" t="s">
        <v>6</v>
      </c>
      <c r="F656">
        <f>COUNTIFS($D$2:D656,D656)</f>
        <v>19</v>
      </c>
      <c r="G656" t="str">
        <f t="shared" si="10"/>
        <v>3871E</v>
      </c>
      <c r="H656">
        <v>5.4597677999999998</v>
      </c>
      <c r="I656">
        <v>52.171993200000003</v>
      </c>
      <c r="J656" t="s">
        <v>427</v>
      </c>
      <c r="K656" t="s">
        <v>339</v>
      </c>
      <c r="L656" t="s">
        <v>91</v>
      </c>
      <c r="M656" t="s">
        <v>6</v>
      </c>
    </row>
    <row r="657" spans="1:13" x14ac:dyDescent="0.25">
      <c r="A657" s="3" t="s">
        <v>92</v>
      </c>
      <c r="B657" s="4">
        <v>65</v>
      </c>
      <c r="C657" s="4"/>
      <c r="D657" s="4" t="s">
        <v>91</v>
      </c>
      <c r="E657" s="4" t="s">
        <v>6</v>
      </c>
      <c r="F657">
        <f>COUNTIFS($D$2:D657,D657)</f>
        <v>20</v>
      </c>
      <c r="G657" t="str">
        <f t="shared" si="10"/>
        <v>3871E</v>
      </c>
      <c r="H657">
        <v>5.4597676000000002</v>
      </c>
      <c r="I657">
        <v>52.171885400000001</v>
      </c>
      <c r="J657" t="s">
        <v>427</v>
      </c>
      <c r="K657" t="s">
        <v>428</v>
      </c>
      <c r="L657" t="s">
        <v>91</v>
      </c>
      <c r="M657" t="s">
        <v>6</v>
      </c>
    </row>
    <row r="658" spans="1:13" x14ac:dyDescent="0.25">
      <c r="A658" s="3" t="s">
        <v>93</v>
      </c>
      <c r="B658" s="4">
        <v>2</v>
      </c>
      <c r="C658" s="4" t="s">
        <v>94</v>
      </c>
      <c r="D658" s="4" t="s">
        <v>91</v>
      </c>
      <c r="E658" s="4" t="s">
        <v>6</v>
      </c>
      <c r="F658">
        <f>COUNTIFS($D$2:D658,D658)</f>
        <v>21</v>
      </c>
      <c r="G658" t="str">
        <f t="shared" si="10"/>
        <v>3871E</v>
      </c>
      <c r="H658">
        <v>5.4587895</v>
      </c>
      <c r="I658">
        <v>52.175333100000003</v>
      </c>
      <c r="J658" t="s">
        <v>429</v>
      </c>
      <c r="K658" t="s">
        <v>430</v>
      </c>
      <c r="L658" t="s">
        <v>91</v>
      </c>
      <c r="M658" t="s">
        <v>6</v>
      </c>
    </row>
    <row r="659" spans="1:13" x14ac:dyDescent="0.25">
      <c r="A659" s="3" t="s">
        <v>93</v>
      </c>
      <c r="B659" s="4">
        <v>2</v>
      </c>
      <c r="C659" s="4" t="s">
        <v>15</v>
      </c>
      <c r="D659" s="4" t="s">
        <v>91</v>
      </c>
      <c r="E659" s="4" t="s">
        <v>6</v>
      </c>
      <c r="F659">
        <f>COUNTIFS($D$2:D659,D659)</f>
        <v>22</v>
      </c>
      <c r="G659" t="str">
        <f t="shared" si="10"/>
        <v>3871E</v>
      </c>
      <c r="H659">
        <v>5.4588709</v>
      </c>
      <c r="I659">
        <v>52.175465600000003</v>
      </c>
      <c r="J659" t="s">
        <v>429</v>
      </c>
      <c r="K659" t="s">
        <v>431</v>
      </c>
      <c r="L659" t="s">
        <v>91</v>
      </c>
      <c r="M659" t="s">
        <v>6</v>
      </c>
    </row>
    <row r="660" spans="1:13" x14ac:dyDescent="0.25">
      <c r="A660" s="3" t="s">
        <v>93</v>
      </c>
      <c r="B660" s="4">
        <v>2</v>
      </c>
      <c r="C660" s="4" t="s">
        <v>95</v>
      </c>
      <c r="D660" s="4" t="s">
        <v>91</v>
      </c>
      <c r="E660" s="4" t="s">
        <v>6</v>
      </c>
      <c r="F660">
        <f>COUNTIFS($D$2:D660,D660)</f>
        <v>23</v>
      </c>
      <c r="G660" t="str">
        <f t="shared" si="10"/>
        <v>3871E</v>
      </c>
      <c r="H660">
        <v>5.4588768999999999</v>
      </c>
      <c r="I660">
        <v>52.175554400000003</v>
      </c>
      <c r="J660" t="s">
        <v>429</v>
      </c>
      <c r="K660" t="s">
        <v>432</v>
      </c>
      <c r="L660" t="s">
        <v>91</v>
      </c>
      <c r="M660" t="s">
        <v>6</v>
      </c>
    </row>
    <row r="661" spans="1:13" x14ac:dyDescent="0.25">
      <c r="A661" s="3" t="s">
        <v>93</v>
      </c>
      <c r="B661" s="4">
        <v>2</v>
      </c>
      <c r="C661" s="4" t="s">
        <v>17</v>
      </c>
      <c r="D661" s="4" t="s">
        <v>91</v>
      </c>
      <c r="E661" s="4" t="s">
        <v>6</v>
      </c>
      <c r="F661">
        <f>COUNTIFS($D$2:D661,D661)</f>
        <v>24</v>
      </c>
      <c r="G661" t="str">
        <f t="shared" si="10"/>
        <v>3871E</v>
      </c>
      <c r="H661">
        <v>5.4588235000000003</v>
      </c>
      <c r="I661">
        <v>52.175532500000003</v>
      </c>
      <c r="J661" t="s">
        <v>429</v>
      </c>
      <c r="K661" t="s">
        <v>433</v>
      </c>
      <c r="L661" t="s">
        <v>91</v>
      </c>
      <c r="M661" t="s">
        <v>6</v>
      </c>
    </row>
    <row r="662" spans="1:13" x14ac:dyDescent="0.25">
      <c r="A662" s="3" t="s">
        <v>93</v>
      </c>
      <c r="B662" s="4">
        <v>2</v>
      </c>
      <c r="C662" s="4" t="s">
        <v>8</v>
      </c>
      <c r="D662" s="4" t="s">
        <v>91</v>
      </c>
      <c r="E662" s="4" t="s">
        <v>6</v>
      </c>
      <c r="F662">
        <f>COUNTIFS($D$2:D662,D662)</f>
        <v>25</v>
      </c>
      <c r="G662" t="str">
        <f t="shared" si="10"/>
        <v>3871E</v>
      </c>
      <c r="H662">
        <v>5.4589914999999998</v>
      </c>
      <c r="I662">
        <v>52.175469200000002</v>
      </c>
      <c r="J662" t="s">
        <v>429</v>
      </c>
      <c r="K662" t="s">
        <v>258</v>
      </c>
      <c r="L662" t="s">
        <v>91</v>
      </c>
      <c r="M662" t="s">
        <v>6</v>
      </c>
    </row>
    <row r="663" spans="1:13" x14ac:dyDescent="0.25">
      <c r="A663" s="3" t="s">
        <v>93</v>
      </c>
      <c r="B663" s="4">
        <v>2</v>
      </c>
      <c r="C663" s="4"/>
      <c r="D663" s="4" t="s">
        <v>91</v>
      </c>
      <c r="E663" s="4" t="s">
        <v>6</v>
      </c>
      <c r="F663">
        <f>COUNTIFS($D$2:D663,D663)</f>
        <v>26</v>
      </c>
      <c r="G663" t="str">
        <f t="shared" si="10"/>
        <v>3871E</v>
      </c>
      <c r="H663">
        <v>5.4590052</v>
      </c>
      <c r="I663">
        <v>52.175374300000001</v>
      </c>
      <c r="J663" t="s">
        <v>429</v>
      </c>
      <c r="K663" t="s">
        <v>370</v>
      </c>
      <c r="L663" t="s">
        <v>91</v>
      </c>
      <c r="M663" t="s">
        <v>6</v>
      </c>
    </row>
    <row r="664" spans="1:13" x14ac:dyDescent="0.25">
      <c r="A664" s="3" t="s">
        <v>93</v>
      </c>
      <c r="B664" s="4">
        <v>2</v>
      </c>
      <c r="C664" s="4" t="s">
        <v>16</v>
      </c>
      <c r="D664" s="4" t="s">
        <v>91</v>
      </c>
      <c r="E664" s="4" t="s">
        <v>6</v>
      </c>
      <c r="F664">
        <f>COUNTIFS($D$2:D664,D664)</f>
        <v>27</v>
      </c>
      <c r="G664" t="str">
        <f t="shared" si="10"/>
        <v>3871E</v>
      </c>
      <c r="H664">
        <v>5.4589026</v>
      </c>
      <c r="I664">
        <v>52.175537400000003</v>
      </c>
      <c r="J664" t="s">
        <v>429</v>
      </c>
      <c r="K664" t="s">
        <v>434</v>
      </c>
      <c r="L664" t="s">
        <v>91</v>
      </c>
      <c r="M664" t="s">
        <v>6</v>
      </c>
    </row>
    <row r="665" spans="1:13" x14ac:dyDescent="0.25">
      <c r="A665" s="3" t="s">
        <v>93</v>
      </c>
      <c r="B665" s="4">
        <v>2</v>
      </c>
      <c r="C665" s="4" t="s">
        <v>13</v>
      </c>
      <c r="D665" s="4" t="s">
        <v>91</v>
      </c>
      <c r="E665" s="4" t="s">
        <v>6</v>
      </c>
      <c r="F665">
        <f>COUNTIFS($D$2:D665,D665)</f>
        <v>28</v>
      </c>
      <c r="G665" t="str">
        <f t="shared" si="10"/>
        <v>3871E</v>
      </c>
      <c r="H665">
        <v>5.4587836999999997</v>
      </c>
      <c r="I665">
        <v>52.175374400000003</v>
      </c>
      <c r="J665" t="s">
        <v>429</v>
      </c>
      <c r="K665" t="s">
        <v>387</v>
      </c>
      <c r="L665" t="s">
        <v>91</v>
      </c>
      <c r="M665" t="s">
        <v>6</v>
      </c>
    </row>
    <row r="666" spans="1:13" x14ac:dyDescent="0.25">
      <c r="A666" s="3" t="s">
        <v>93</v>
      </c>
      <c r="B666" s="4">
        <v>2</v>
      </c>
      <c r="C666" s="4" t="s">
        <v>14</v>
      </c>
      <c r="D666" s="4" t="s">
        <v>91</v>
      </c>
      <c r="E666" s="4" t="s">
        <v>6</v>
      </c>
      <c r="F666">
        <f>COUNTIFS($D$2:D666,D666)</f>
        <v>29</v>
      </c>
      <c r="G666" t="str">
        <f t="shared" si="10"/>
        <v>3871E</v>
      </c>
      <c r="H666">
        <v>5.4587757999999997</v>
      </c>
      <c r="I666">
        <v>52.175412199999997</v>
      </c>
      <c r="J666" t="s">
        <v>429</v>
      </c>
      <c r="K666" t="s">
        <v>435</v>
      </c>
      <c r="L666" t="s">
        <v>91</v>
      </c>
      <c r="M666" t="s">
        <v>6</v>
      </c>
    </row>
    <row r="667" spans="1:13" x14ac:dyDescent="0.25">
      <c r="A667" s="3" t="s">
        <v>93</v>
      </c>
      <c r="B667" s="4">
        <v>2</v>
      </c>
      <c r="C667" s="4" t="s">
        <v>12</v>
      </c>
      <c r="D667" s="4" t="s">
        <v>91</v>
      </c>
      <c r="E667" s="4" t="s">
        <v>6</v>
      </c>
      <c r="F667">
        <f>COUNTIFS($D$2:D667,D667)</f>
        <v>30</v>
      </c>
      <c r="G667" t="str">
        <f t="shared" si="10"/>
        <v>3871E</v>
      </c>
      <c r="H667">
        <v>5.4589837000000001</v>
      </c>
      <c r="I667">
        <v>52.175538500000002</v>
      </c>
      <c r="J667" t="s">
        <v>429</v>
      </c>
      <c r="K667" t="s">
        <v>388</v>
      </c>
      <c r="L667" t="s">
        <v>91</v>
      </c>
      <c r="M667" t="s">
        <v>6</v>
      </c>
    </row>
    <row r="668" spans="1:13" x14ac:dyDescent="0.25">
      <c r="A668" s="3" t="s">
        <v>93</v>
      </c>
      <c r="B668" s="4">
        <v>4</v>
      </c>
      <c r="C668" s="4"/>
      <c r="D668" s="4" t="s">
        <v>91</v>
      </c>
      <c r="E668" s="4" t="s">
        <v>6</v>
      </c>
      <c r="F668">
        <f>COUNTIFS($D$2:D668,D668)</f>
        <v>31</v>
      </c>
      <c r="G668" t="str">
        <f t="shared" si="10"/>
        <v>3871E</v>
      </c>
      <c r="H668">
        <v>5.4585292000000001</v>
      </c>
      <c r="I668">
        <v>52.174483600000002</v>
      </c>
      <c r="J668" t="s">
        <v>429</v>
      </c>
      <c r="K668" t="s">
        <v>260</v>
      </c>
      <c r="L668" t="s">
        <v>91</v>
      </c>
      <c r="M668" t="s">
        <v>6</v>
      </c>
    </row>
    <row r="669" spans="1:13" x14ac:dyDescent="0.25">
      <c r="A669" s="3" t="s">
        <v>93</v>
      </c>
      <c r="B669" s="4">
        <v>6</v>
      </c>
      <c r="C669" s="4"/>
      <c r="D669" s="4" t="s">
        <v>91</v>
      </c>
      <c r="E669" s="4" t="s">
        <v>6</v>
      </c>
      <c r="F669">
        <f>COUNTIFS($D$2:D669,D669)</f>
        <v>32</v>
      </c>
      <c r="G669" t="str">
        <f t="shared" si="10"/>
        <v>3871E</v>
      </c>
      <c r="H669">
        <v>5.4585438000000002</v>
      </c>
      <c r="I669">
        <v>52.174420699999999</v>
      </c>
      <c r="J669" t="s">
        <v>429</v>
      </c>
      <c r="K669" t="s">
        <v>262</v>
      </c>
      <c r="L669" t="s">
        <v>91</v>
      </c>
      <c r="M669" t="s">
        <v>6</v>
      </c>
    </row>
    <row r="670" spans="1:13" x14ac:dyDescent="0.25">
      <c r="A670" s="3" t="s">
        <v>93</v>
      </c>
      <c r="B670" s="4">
        <v>8</v>
      </c>
      <c r="C670" s="4"/>
      <c r="D670" s="4" t="s">
        <v>91</v>
      </c>
      <c r="E670" s="4" t="s">
        <v>6</v>
      </c>
      <c r="F670">
        <f>COUNTIFS($D$2:D670,D670)</f>
        <v>33</v>
      </c>
      <c r="G670" t="str">
        <f t="shared" si="10"/>
        <v>3871E</v>
      </c>
      <c r="H670">
        <v>5.4585583</v>
      </c>
      <c r="I670">
        <v>52.1743758</v>
      </c>
      <c r="J670" t="s">
        <v>429</v>
      </c>
      <c r="K670" t="s">
        <v>263</v>
      </c>
      <c r="L670" t="s">
        <v>91</v>
      </c>
      <c r="M670" t="s">
        <v>6</v>
      </c>
    </row>
    <row r="671" spans="1:13" x14ac:dyDescent="0.25">
      <c r="A671" s="3" t="s">
        <v>93</v>
      </c>
      <c r="B671" s="4">
        <v>10</v>
      </c>
      <c r="C671" s="4"/>
      <c r="D671" s="4" t="s">
        <v>91</v>
      </c>
      <c r="E671" s="4" t="s">
        <v>6</v>
      </c>
      <c r="F671">
        <f>COUNTIFS($D$2:D671,D671)</f>
        <v>34</v>
      </c>
      <c r="G671" t="str">
        <f t="shared" si="10"/>
        <v>3871E</v>
      </c>
      <c r="H671">
        <v>5.4585727999999998</v>
      </c>
      <c r="I671">
        <v>52.174312800000003</v>
      </c>
      <c r="J671" t="s">
        <v>429</v>
      </c>
      <c r="K671" t="s">
        <v>264</v>
      </c>
      <c r="L671" t="s">
        <v>91</v>
      </c>
      <c r="M671" t="s">
        <v>6</v>
      </c>
    </row>
    <row r="672" spans="1:13" x14ac:dyDescent="0.25">
      <c r="A672" s="3" t="s">
        <v>93</v>
      </c>
      <c r="B672" s="4">
        <v>12</v>
      </c>
      <c r="C672" s="4"/>
      <c r="D672" s="4" t="s">
        <v>91</v>
      </c>
      <c r="E672" s="4" t="s">
        <v>6</v>
      </c>
      <c r="F672">
        <f>COUNTIFS($D$2:D672,D672)</f>
        <v>35</v>
      </c>
      <c r="G672" t="str">
        <f t="shared" si="10"/>
        <v>3871E</v>
      </c>
      <c r="H672">
        <v>5.4585872999999996</v>
      </c>
      <c r="I672">
        <v>52.174258899999998</v>
      </c>
      <c r="J672" t="s">
        <v>429</v>
      </c>
      <c r="K672" t="s">
        <v>265</v>
      </c>
      <c r="L672" t="s">
        <v>91</v>
      </c>
      <c r="M672" t="s">
        <v>6</v>
      </c>
    </row>
    <row r="673" spans="1:13" x14ac:dyDescent="0.25">
      <c r="A673" s="3" t="s">
        <v>93</v>
      </c>
      <c r="B673" s="4">
        <v>14</v>
      </c>
      <c r="C673" s="4"/>
      <c r="D673" s="4" t="s">
        <v>91</v>
      </c>
      <c r="E673" s="4" t="s">
        <v>6</v>
      </c>
      <c r="F673">
        <f>COUNTIFS($D$2:D673,D673)</f>
        <v>36</v>
      </c>
      <c r="G673" t="str">
        <f t="shared" si="10"/>
        <v>3871E</v>
      </c>
      <c r="H673">
        <v>5.4586018999999997</v>
      </c>
      <c r="I673">
        <v>52.174205000000001</v>
      </c>
      <c r="J673" t="s">
        <v>429</v>
      </c>
      <c r="K673" t="s">
        <v>266</v>
      </c>
      <c r="L673" t="s">
        <v>91</v>
      </c>
      <c r="M673" t="s">
        <v>6</v>
      </c>
    </row>
    <row r="674" spans="1:13" x14ac:dyDescent="0.25">
      <c r="A674" s="3" t="s">
        <v>93</v>
      </c>
      <c r="B674" s="4">
        <v>16</v>
      </c>
      <c r="C674" s="4"/>
      <c r="D674" s="4" t="s">
        <v>91</v>
      </c>
      <c r="E674" s="4" t="s">
        <v>6</v>
      </c>
      <c r="F674">
        <f>COUNTIFS($D$2:D674,D674)</f>
        <v>37</v>
      </c>
      <c r="G674" t="str">
        <f t="shared" si="10"/>
        <v>3871E</v>
      </c>
      <c r="H674">
        <v>5.4586164000000004</v>
      </c>
      <c r="I674">
        <v>52.174151000000002</v>
      </c>
      <c r="J674" t="s">
        <v>429</v>
      </c>
      <c r="K674" t="s">
        <v>371</v>
      </c>
      <c r="L674" t="s">
        <v>91</v>
      </c>
      <c r="M674" t="s">
        <v>6</v>
      </c>
    </row>
    <row r="675" spans="1:13" x14ac:dyDescent="0.25">
      <c r="A675" s="3" t="s">
        <v>93</v>
      </c>
      <c r="B675" s="4">
        <v>18</v>
      </c>
      <c r="C675" s="4"/>
      <c r="D675" s="4" t="s">
        <v>91</v>
      </c>
      <c r="E675" s="4" t="s">
        <v>6</v>
      </c>
      <c r="F675">
        <f>COUNTIFS($D$2:D675,D675)</f>
        <v>38</v>
      </c>
      <c r="G675" t="str">
        <f t="shared" si="10"/>
        <v>3871E</v>
      </c>
      <c r="H675">
        <v>5.4586309000000002</v>
      </c>
      <c r="I675">
        <v>52.174097099999997</v>
      </c>
      <c r="J675" t="s">
        <v>429</v>
      </c>
      <c r="K675" t="s">
        <v>267</v>
      </c>
      <c r="L675" t="s">
        <v>91</v>
      </c>
      <c r="M675" t="s">
        <v>6</v>
      </c>
    </row>
    <row r="676" spans="1:13" x14ac:dyDescent="0.25">
      <c r="A676" s="3" t="s">
        <v>93</v>
      </c>
      <c r="B676" s="4">
        <v>20</v>
      </c>
      <c r="C676" s="4"/>
      <c r="D676" s="4" t="s">
        <v>91</v>
      </c>
      <c r="E676" s="4" t="s">
        <v>6</v>
      </c>
      <c r="F676">
        <f>COUNTIFS($D$2:D676,D676)</f>
        <v>39</v>
      </c>
      <c r="G676" t="str">
        <f t="shared" si="10"/>
        <v>3871E</v>
      </c>
      <c r="H676">
        <v>5.4586455000000003</v>
      </c>
      <c r="I676">
        <v>52.1740432</v>
      </c>
      <c r="J676" t="s">
        <v>429</v>
      </c>
      <c r="K676" t="s">
        <v>372</v>
      </c>
      <c r="L676" t="s">
        <v>91</v>
      </c>
      <c r="M676" t="s">
        <v>6</v>
      </c>
    </row>
    <row r="677" spans="1:13" x14ac:dyDescent="0.25">
      <c r="A677" s="3" t="s">
        <v>93</v>
      </c>
      <c r="B677" s="4">
        <v>28</v>
      </c>
      <c r="C677" s="4"/>
      <c r="D677" s="4" t="s">
        <v>91</v>
      </c>
      <c r="E677" s="4" t="s">
        <v>6</v>
      </c>
      <c r="F677">
        <f>COUNTIFS($D$2:D677,D677)</f>
        <v>40</v>
      </c>
      <c r="G677" t="str">
        <f t="shared" si="10"/>
        <v>3871E</v>
      </c>
      <c r="H677">
        <v>5.4589809000000002</v>
      </c>
      <c r="I677">
        <v>52.173557600000002</v>
      </c>
      <c r="J677" t="s">
        <v>429</v>
      </c>
      <c r="K677" t="s">
        <v>272</v>
      </c>
      <c r="L677" t="s">
        <v>91</v>
      </c>
      <c r="M677" t="s">
        <v>6</v>
      </c>
    </row>
    <row r="678" spans="1:13" x14ac:dyDescent="0.25">
      <c r="A678" s="3" t="s">
        <v>93</v>
      </c>
      <c r="B678" s="4">
        <v>30</v>
      </c>
      <c r="C678" s="4"/>
      <c r="D678" s="4" t="s">
        <v>91</v>
      </c>
      <c r="E678" s="4" t="s">
        <v>6</v>
      </c>
      <c r="F678">
        <f>COUNTIFS($D$2:D678,D678)</f>
        <v>41</v>
      </c>
      <c r="G678" t="str">
        <f t="shared" si="10"/>
        <v>3871E</v>
      </c>
      <c r="H678">
        <v>5.4589952999999998</v>
      </c>
      <c r="I678">
        <v>52.173431800000003</v>
      </c>
      <c r="J678" t="s">
        <v>429</v>
      </c>
      <c r="K678" t="s">
        <v>373</v>
      </c>
      <c r="L678" t="s">
        <v>91</v>
      </c>
      <c r="M678" t="s">
        <v>6</v>
      </c>
    </row>
    <row r="679" spans="1:13" x14ac:dyDescent="0.25">
      <c r="A679" s="3" t="s">
        <v>96</v>
      </c>
      <c r="B679" s="4">
        <v>9</v>
      </c>
      <c r="C679" s="4"/>
      <c r="D679" s="4" t="s">
        <v>97</v>
      </c>
      <c r="E679" s="4" t="s">
        <v>6</v>
      </c>
      <c r="F679">
        <f>COUNTIFS($D$2:D679,D679)</f>
        <v>1</v>
      </c>
      <c r="G679" t="str">
        <f t="shared" si="10"/>
        <v>3871E</v>
      </c>
      <c r="H679">
        <v>5.4598896999999997</v>
      </c>
      <c r="I679">
        <v>52.175040099999997</v>
      </c>
      <c r="J679" t="s">
        <v>436</v>
      </c>
      <c r="K679" t="s">
        <v>382</v>
      </c>
      <c r="L679" t="s">
        <v>97</v>
      </c>
      <c r="M679" t="s">
        <v>6</v>
      </c>
    </row>
    <row r="680" spans="1:13" x14ac:dyDescent="0.25">
      <c r="A680" s="3" t="s">
        <v>96</v>
      </c>
      <c r="B680" s="4">
        <v>11</v>
      </c>
      <c r="C680" s="4"/>
      <c r="D680" s="4" t="s">
        <v>97</v>
      </c>
      <c r="E680" s="4" t="s">
        <v>6</v>
      </c>
      <c r="F680">
        <f>COUNTIFS($D$2:D680,D680)</f>
        <v>2</v>
      </c>
      <c r="G680" t="str">
        <f t="shared" si="10"/>
        <v>3871E</v>
      </c>
      <c r="H680">
        <v>5.4599773999999996</v>
      </c>
      <c r="I680">
        <v>52.175049000000001</v>
      </c>
      <c r="J680" t="s">
        <v>436</v>
      </c>
      <c r="K680" t="s">
        <v>391</v>
      </c>
      <c r="L680" t="s">
        <v>97</v>
      </c>
      <c r="M680" t="s">
        <v>6</v>
      </c>
    </row>
    <row r="681" spans="1:13" x14ac:dyDescent="0.25">
      <c r="A681" s="3" t="s">
        <v>96</v>
      </c>
      <c r="B681" s="4">
        <v>13</v>
      </c>
      <c r="C681" s="4"/>
      <c r="D681" s="4" t="s">
        <v>97</v>
      </c>
      <c r="E681" s="4" t="s">
        <v>6</v>
      </c>
      <c r="F681">
        <f>COUNTIFS($D$2:D681,D681)</f>
        <v>3</v>
      </c>
      <c r="G681" t="str">
        <f t="shared" si="10"/>
        <v>3871E</v>
      </c>
      <c r="H681">
        <v>5.4600650999999996</v>
      </c>
      <c r="I681">
        <v>52.1750489</v>
      </c>
      <c r="J681" t="s">
        <v>436</v>
      </c>
      <c r="K681" t="s">
        <v>359</v>
      </c>
      <c r="L681" t="s">
        <v>97</v>
      </c>
      <c r="M681" t="s">
        <v>6</v>
      </c>
    </row>
    <row r="682" spans="1:13" x14ac:dyDescent="0.25">
      <c r="A682" s="3" t="s">
        <v>96</v>
      </c>
      <c r="B682" s="4">
        <v>15</v>
      </c>
      <c r="C682" s="4"/>
      <c r="D682" s="4" t="s">
        <v>97</v>
      </c>
      <c r="E682" s="4" t="s">
        <v>6</v>
      </c>
      <c r="F682">
        <f>COUNTIFS($D$2:D682,D682)</f>
        <v>4</v>
      </c>
      <c r="G682" t="str">
        <f t="shared" si="10"/>
        <v>3871E</v>
      </c>
      <c r="H682">
        <v>5.4601382999999997</v>
      </c>
      <c r="I682">
        <v>52.175057899999999</v>
      </c>
      <c r="J682" t="s">
        <v>436</v>
      </c>
      <c r="K682" t="s">
        <v>383</v>
      </c>
      <c r="L682" t="s">
        <v>97</v>
      </c>
      <c r="M682" t="s">
        <v>6</v>
      </c>
    </row>
    <row r="683" spans="1:13" x14ac:dyDescent="0.25">
      <c r="A683" s="3" t="s">
        <v>96</v>
      </c>
      <c r="B683" s="4">
        <v>17</v>
      </c>
      <c r="C683" s="4"/>
      <c r="D683" s="4" t="s">
        <v>97</v>
      </c>
      <c r="E683" s="4" t="s">
        <v>6</v>
      </c>
      <c r="F683">
        <f>COUNTIFS($D$2:D683,D683)</f>
        <v>5</v>
      </c>
      <c r="G683" t="str">
        <f t="shared" si="10"/>
        <v>3871E</v>
      </c>
      <c r="H683">
        <v>5.4602405999999997</v>
      </c>
      <c r="I683">
        <v>52.175066800000003</v>
      </c>
      <c r="J683" t="s">
        <v>436</v>
      </c>
      <c r="K683" t="s">
        <v>360</v>
      </c>
      <c r="L683" t="s">
        <v>97</v>
      </c>
      <c r="M683" t="s">
        <v>6</v>
      </c>
    </row>
    <row r="684" spans="1:13" x14ac:dyDescent="0.25">
      <c r="A684" s="3" t="s">
        <v>96</v>
      </c>
      <c r="B684" s="4">
        <v>19</v>
      </c>
      <c r="C684" s="4"/>
      <c r="D684" s="4" t="s">
        <v>97</v>
      </c>
      <c r="E684" s="4" t="s">
        <v>6</v>
      </c>
      <c r="F684">
        <f>COUNTIFS($D$2:D684,D684)</f>
        <v>6</v>
      </c>
      <c r="G684" t="str">
        <f t="shared" si="10"/>
        <v>3871E</v>
      </c>
      <c r="H684">
        <v>5.4603282999999996</v>
      </c>
      <c r="I684">
        <v>52.175075700000001</v>
      </c>
      <c r="J684" t="s">
        <v>436</v>
      </c>
      <c r="K684" t="s">
        <v>361</v>
      </c>
      <c r="L684" t="s">
        <v>97</v>
      </c>
      <c r="M684" t="s">
        <v>6</v>
      </c>
    </row>
    <row r="685" spans="1:13" x14ac:dyDescent="0.25">
      <c r="A685" s="3" t="s">
        <v>96</v>
      </c>
      <c r="B685" s="4">
        <v>21</v>
      </c>
      <c r="C685" s="4"/>
      <c r="D685" s="4" t="s">
        <v>97</v>
      </c>
      <c r="E685" s="4" t="s">
        <v>6</v>
      </c>
      <c r="F685">
        <f>COUNTIFS($D$2:D685,D685)</f>
        <v>7</v>
      </c>
      <c r="G685" t="str">
        <f t="shared" si="10"/>
        <v>3871E</v>
      </c>
      <c r="H685">
        <v>5.4604160999999998</v>
      </c>
      <c r="I685">
        <v>52.175084699999999</v>
      </c>
      <c r="J685" t="s">
        <v>436</v>
      </c>
      <c r="K685" t="s">
        <v>362</v>
      </c>
      <c r="L685" t="s">
        <v>97</v>
      </c>
      <c r="M685" t="s">
        <v>6</v>
      </c>
    </row>
    <row r="686" spans="1:13" x14ac:dyDescent="0.25">
      <c r="A686" s="3" t="s">
        <v>96</v>
      </c>
      <c r="B686" s="4">
        <v>23</v>
      </c>
      <c r="C686" s="4"/>
      <c r="D686" s="4" t="s">
        <v>97</v>
      </c>
      <c r="E686" s="4" t="s">
        <v>6</v>
      </c>
      <c r="F686">
        <f>COUNTIFS($D$2:D686,D686)</f>
        <v>8</v>
      </c>
      <c r="G686" t="str">
        <f t="shared" si="10"/>
        <v>3871E</v>
      </c>
      <c r="H686">
        <v>5.4604745000000001</v>
      </c>
      <c r="I686">
        <v>52.175084599999998</v>
      </c>
      <c r="J686" t="s">
        <v>436</v>
      </c>
      <c r="K686" t="s">
        <v>384</v>
      </c>
      <c r="L686" t="s">
        <v>97</v>
      </c>
      <c r="M686" t="s">
        <v>6</v>
      </c>
    </row>
    <row r="687" spans="1:13" x14ac:dyDescent="0.25">
      <c r="A687" s="3" t="s">
        <v>96</v>
      </c>
      <c r="B687" s="4">
        <v>25</v>
      </c>
      <c r="C687" s="4"/>
      <c r="D687" s="4" t="s">
        <v>97</v>
      </c>
      <c r="E687" s="4" t="s">
        <v>6</v>
      </c>
      <c r="F687">
        <f>COUNTIFS($D$2:D687,D687)</f>
        <v>9</v>
      </c>
      <c r="G687" t="str">
        <f t="shared" si="10"/>
        <v>3871E</v>
      </c>
      <c r="H687">
        <v>5.4606937999999996</v>
      </c>
      <c r="I687">
        <v>52.175075499999998</v>
      </c>
      <c r="J687" t="s">
        <v>436</v>
      </c>
      <c r="K687" t="s">
        <v>385</v>
      </c>
      <c r="L687" t="s">
        <v>97</v>
      </c>
      <c r="M687" t="s">
        <v>6</v>
      </c>
    </row>
    <row r="688" spans="1:13" x14ac:dyDescent="0.25">
      <c r="A688" s="3" t="s">
        <v>96</v>
      </c>
      <c r="B688" s="4">
        <v>27</v>
      </c>
      <c r="C688" s="4"/>
      <c r="D688" s="4" t="s">
        <v>97</v>
      </c>
      <c r="E688" s="4" t="s">
        <v>6</v>
      </c>
      <c r="F688">
        <f>COUNTIFS($D$2:D688,D688)</f>
        <v>10</v>
      </c>
      <c r="G688" t="str">
        <f t="shared" si="10"/>
        <v>3871E</v>
      </c>
      <c r="H688">
        <v>5.4607815000000004</v>
      </c>
      <c r="I688">
        <v>52.175075499999998</v>
      </c>
      <c r="J688" t="s">
        <v>436</v>
      </c>
      <c r="K688" t="s">
        <v>393</v>
      </c>
      <c r="L688" t="s">
        <v>97</v>
      </c>
      <c r="M688" t="s">
        <v>6</v>
      </c>
    </row>
    <row r="689" spans="1:13" x14ac:dyDescent="0.25">
      <c r="A689" s="3" t="s">
        <v>96</v>
      </c>
      <c r="B689" s="4">
        <v>29</v>
      </c>
      <c r="C689" s="4"/>
      <c r="D689" s="4" t="s">
        <v>97</v>
      </c>
      <c r="E689" s="4" t="s">
        <v>6</v>
      </c>
      <c r="F689">
        <f>COUNTIFS($D$2:D689,D689)</f>
        <v>11</v>
      </c>
      <c r="G689" t="str">
        <f t="shared" si="10"/>
        <v>3871E</v>
      </c>
      <c r="H689">
        <v>5.4608692999999997</v>
      </c>
      <c r="I689">
        <v>52.175084400000003</v>
      </c>
      <c r="J689" t="s">
        <v>436</v>
      </c>
      <c r="K689" t="s">
        <v>364</v>
      </c>
      <c r="L689" t="s">
        <v>97</v>
      </c>
      <c r="M689" t="s">
        <v>6</v>
      </c>
    </row>
    <row r="690" spans="1:13" x14ac:dyDescent="0.25">
      <c r="A690" s="3" t="s">
        <v>98</v>
      </c>
      <c r="B690" s="4">
        <v>31</v>
      </c>
      <c r="C690" s="4"/>
      <c r="D690" s="4" t="s">
        <v>97</v>
      </c>
      <c r="E690" s="4" t="s">
        <v>6</v>
      </c>
      <c r="F690">
        <f>COUNTIFS($D$2:D690,D690)</f>
        <v>12</v>
      </c>
      <c r="G690" t="str">
        <f t="shared" si="10"/>
        <v>3871E</v>
      </c>
      <c r="H690">
        <v>5.4609569999999996</v>
      </c>
      <c r="I690">
        <v>52.1750933</v>
      </c>
      <c r="J690" t="s">
        <v>437</v>
      </c>
      <c r="K690" t="s">
        <v>323</v>
      </c>
      <c r="L690" t="s">
        <v>97</v>
      </c>
      <c r="M690" t="s">
        <v>6</v>
      </c>
    </row>
    <row r="691" spans="1:13" x14ac:dyDescent="0.25">
      <c r="A691" s="3" t="s">
        <v>98</v>
      </c>
      <c r="B691" s="4">
        <v>33</v>
      </c>
      <c r="C691" s="4"/>
      <c r="D691" s="4" t="s">
        <v>97</v>
      </c>
      <c r="E691" s="4" t="s">
        <v>6</v>
      </c>
      <c r="F691">
        <f>COUNTIFS($D$2:D691,D691)</f>
        <v>13</v>
      </c>
      <c r="G691" t="str">
        <f t="shared" si="10"/>
        <v>3871E</v>
      </c>
      <c r="H691">
        <v>5.4610592999999996</v>
      </c>
      <c r="I691">
        <v>52.1750933</v>
      </c>
      <c r="J691" t="s">
        <v>437</v>
      </c>
      <c r="K691" t="s">
        <v>365</v>
      </c>
      <c r="L691" t="s">
        <v>97</v>
      </c>
      <c r="M691" t="s">
        <v>6</v>
      </c>
    </row>
    <row r="692" spans="1:13" x14ac:dyDescent="0.25">
      <c r="A692" s="3" t="s">
        <v>98</v>
      </c>
      <c r="B692" s="4">
        <v>35</v>
      </c>
      <c r="C692" s="4"/>
      <c r="D692" s="4" t="s">
        <v>97</v>
      </c>
      <c r="E692" s="4" t="s">
        <v>6</v>
      </c>
      <c r="F692">
        <f>COUNTIFS($D$2:D692,D692)</f>
        <v>14</v>
      </c>
      <c r="G692" t="str">
        <f t="shared" si="10"/>
        <v>3871E</v>
      </c>
      <c r="H692">
        <v>5.4611470999999998</v>
      </c>
      <c r="I692">
        <v>52.175111200000003</v>
      </c>
      <c r="J692" t="s">
        <v>437</v>
      </c>
      <c r="K692" t="s">
        <v>366</v>
      </c>
      <c r="L692" t="s">
        <v>97</v>
      </c>
      <c r="M692" t="s">
        <v>6</v>
      </c>
    </row>
    <row r="693" spans="1:13" x14ac:dyDescent="0.25">
      <c r="A693" s="3" t="s">
        <v>98</v>
      </c>
      <c r="B693" s="4">
        <v>37</v>
      </c>
      <c r="C693" s="4"/>
      <c r="D693" s="4" t="s">
        <v>97</v>
      </c>
      <c r="E693" s="4" t="s">
        <v>6</v>
      </c>
      <c r="F693">
        <f>COUNTIFS($D$2:D693,D693)</f>
        <v>15</v>
      </c>
      <c r="G693" t="str">
        <f t="shared" si="10"/>
        <v>3871E</v>
      </c>
      <c r="H693">
        <v>5.4612347999999997</v>
      </c>
      <c r="I693">
        <v>52.175111100000002</v>
      </c>
      <c r="J693" t="s">
        <v>437</v>
      </c>
      <c r="K693" t="s">
        <v>367</v>
      </c>
      <c r="L693" t="s">
        <v>97</v>
      </c>
      <c r="M693" t="s">
        <v>6</v>
      </c>
    </row>
    <row r="694" spans="1:13" x14ac:dyDescent="0.25">
      <c r="A694" s="3" t="s">
        <v>98</v>
      </c>
      <c r="B694" s="4">
        <v>39</v>
      </c>
      <c r="C694" s="4"/>
      <c r="D694" s="4" t="s">
        <v>97</v>
      </c>
      <c r="E694" s="4" t="s">
        <v>6</v>
      </c>
      <c r="F694">
        <f>COUNTIFS($D$2:D694,D694)</f>
        <v>16</v>
      </c>
      <c r="G694" t="str">
        <f t="shared" si="10"/>
        <v>3871E</v>
      </c>
      <c r="H694">
        <v>5.4613224999999996</v>
      </c>
      <c r="I694">
        <v>52.175120100000001</v>
      </c>
      <c r="J694" t="s">
        <v>437</v>
      </c>
      <c r="K694" t="s">
        <v>368</v>
      </c>
      <c r="L694" t="s">
        <v>97</v>
      </c>
      <c r="M694" t="s">
        <v>6</v>
      </c>
    </row>
    <row r="695" spans="1:13" x14ac:dyDescent="0.25">
      <c r="A695" s="3" t="s">
        <v>98</v>
      </c>
      <c r="B695" s="4">
        <v>41</v>
      </c>
      <c r="C695" s="4"/>
      <c r="D695" s="4" t="s">
        <v>97</v>
      </c>
      <c r="E695" s="4" t="s">
        <v>6</v>
      </c>
      <c r="F695">
        <f>COUNTIFS($D$2:D695,D695)</f>
        <v>17</v>
      </c>
      <c r="G695" t="str">
        <f t="shared" si="10"/>
        <v>3871E</v>
      </c>
      <c r="H695">
        <v>5.4615125000000004</v>
      </c>
      <c r="I695">
        <v>52.175102000000003</v>
      </c>
      <c r="J695" t="s">
        <v>437</v>
      </c>
      <c r="K695" t="s">
        <v>325</v>
      </c>
      <c r="L695" t="s">
        <v>97</v>
      </c>
      <c r="M695" t="s">
        <v>6</v>
      </c>
    </row>
    <row r="696" spans="1:13" x14ac:dyDescent="0.25">
      <c r="A696" s="3" t="s">
        <v>98</v>
      </c>
      <c r="B696" s="4">
        <v>43</v>
      </c>
      <c r="C696" s="4"/>
      <c r="D696" s="4" t="s">
        <v>97</v>
      </c>
      <c r="E696" s="4" t="s">
        <v>6</v>
      </c>
      <c r="F696">
        <f>COUNTIFS($D$2:D696,D696)</f>
        <v>18</v>
      </c>
      <c r="G696" t="str">
        <f t="shared" si="10"/>
        <v>3871E</v>
      </c>
      <c r="H696">
        <v>5.4615856000000003</v>
      </c>
      <c r="I696">
        <v>52.1751109</v>
      </c>
      <c r="J696" t="s">
        <v>437</v>
      </c>
      <c r="K696" t="s">
        <v>326</v>
      </c>
      <c r="L696" t="s">
        <v>97</v>
      </c>
      <c r="M696" t="s">
        <v>6</v>
      </c>
    </row>
    <row r="697" spans="1:13" x14ac:dyDescent="0.25">
      <c r="A697" s="3" t="s">
        <v>98</v>
      </c>
      <c r="B697" s="4">
        <v>45</v>
      </c>
      <c r="C697" s="4"/>
      <c r="D697" s="4" t="s">
        <v>97</v>
      </c>
      <c r="E697" s="4" t="s">
        <v>6</v>
      </c>
      <c r="F697">
        <f>COUNTIFS($D$2:D697,D697)</f>
        <v>19</v>
      </c>
      <c r="G697" t="str">
        <f t="shared" si="10"/>
        <v>3871E</v>
      </c>
      <c r="H697">
        <v>5.4616879999999997</v>
      </c>
      <c r="I697">
        <v>52.175110799999999</v>
      </c>
      <c r="J697" t="s">
        <v>437</v>
      </c>
      <c r="K697" t="s">
        <v>327</v>
      </c>
      <c r="L697" t="s">
        <v>97</v>
      </c>
      <c r="M697" t="s">
        <v>6</v>
      </c>
    </row>
    <row r="698" spans="1:13" x14ac:dyDescent="0.25">
      <c r="A698" s="3" t="s">
        <v>98</v>
      </c>
      <c r="B698" s="4">
        <v>47</v>
      </c>
      <c r="C698" s="4"/>
      <c r="D698" s="4" t="s">
        <v>97</v>
      </c>
      <c r="E698" s="4" t="s">
        <v>6</v>
      </c>
      <c r="F698">
        <f>COUNTIFS($D$2:D698,D698)</f>
        <v>20</v>
      </c>
      <c r="G698" t="str">
        <f t="shared" si="10"/>
        <v>3871E</v>
      </c>
      <c r="H698">
        <v>5.4617756999999996</v>
      </c>
      <c r="I698">
        <v>52.175119799999997</v>
      </c>
      <c r="J698" t="s">
        <v>437</v>
      </c>
      <c r="K698" t="s">
        <v>328</v>
      </c>
      <c r="L698" t="s">
        <v>97</v>
      </c>
      <c r="M698" t="s">
        <v>6</v>
      </c>
    </row>
    <row r="699" spans="1:13" x14ac:dyDescent="0.25">
      <c r="A699" s="3" t="s">
        <v>98</v>
      </c>
      <c r="B699" s="4">
        <v>49</v>
      </c>
      <c r="C699" s="4"/>
      <c r="D699" s="4" t="s">
        <v>97</v>
      </c>
      <c r="E699" s="4" t="s">
        <v>6</v>
      </c>
      <c r="F699">
        <f>COUNTIFS($D$2:D699,D699)</f>
        <v>21</v>
      </c>
      <c r="G699" t="str">
        <f t="shared" si="10"/>
        <v>3871E</v>
      </c>
      <c r="H699">
        <v>5.4618488000000003</v>
      </c>
      <c r="I699">
        <v>52.175128700000002</v>
      </c>
      <c r="J699" t="s">
        <v>437</v>
      </c>
      <c r="K699" t="s">
        <v>329</v>
      </c>
      <c r="L699" t="s">
        <v>97</v>
      </c>
      <c r="M699" t="s">
        <v>6</v>
      </c>
    </row>
    <row r="700" spans="1:13" x14ac:dyDescent="0.25">
      <c r="A700" s="3" t="s">
        <v>98</v>
      </c>
      <c r="B700" s="4">
        <v>51</v>
      </c>
      <c r="C700" s="4"/>
      <c r="D700" s="4" t="s">
        <v>97</v>
      </c>
      <c r="E700" s="4" t="s">
        <v>6</v>
      </c>
      <c r="F700">
        <f>COUNTIFS($D$2:D700,D700)</f>
        <v>22</v>
      </c>
      <c r="G700" t="str">
        <f t="shared" si="10"/>
        <v>3871E</v>
      </c>
      <c r="H700">
        <v>5.4619365000000002</v>
      </c>
      <c r="I700">
        <v>52.175137599999999</v>
      </c>
      <c r="J700" t="s">
        <v>437</v>
      </c>
      <c r="K700" t="s">
        <v>331</v>
      </c>
      <c r="L700" t="s">
        <v>97</v>
      </c>
      <c r="M700" t="s">
        <v>6</v>
      </c>
    </row>
    <row r="701" spans="1:13" x14ac:dyDescent="0.25">
      <c r="A701" s="3" t="s">
        <v>99</v>
      </c>
      <c r="B701" s="4">
        <v>2</v>
      </c>
      <c r="C701" s="4"/>
      <c r="D701" s="4" t="s">
        <v>97</v>
      </c>
      <c r="E701" s="4" t="s">
        <v>6</v>
      </c>
      <c r="F701">
        <f>COUNTIFS($D$2:D701,D701)</f>
        <v>23</v>
      </c>
      <c r="G701" t="str">
        <f t="shared" si="10"/>
        <v>3871E</v>
      </c>
      <c r="H701">
        <v>5.4582370999999998</v>
      </c>
      <c r="I701">
        <v>52.174645599999998</v>
      </c>
      <c r="J701" t="s">
        <v>438</v>
      </c>
      <c r="K701" t="s">
        <v>370</v>
      </c>
      <c r="L701" t="s">
        <v>97</v>
      </c>
      <c r="M701" t="s">
        <v>6</v>
      </c>
    </row>
    <row r="702" spans="1:13" x14ac:dyDescent="0.25">
      <c r="A702" s="3" t="s">
        <v>99</v>
      </c>
      <c r="B702" s="4">
        <v>4</v>
      </c>
      <c r="C702" s="4"/>
      <c r="D702" s="4" t="s">
        <v>97</v>
      </c>
      <c r="E702" s="4" t="s">
        <v>6</v>
      </c>
      <c r="F702">
        <f>COUNTIFS($D$2:D702,D702)</f>
        <v>24</v>
      </c>
      <c r="G702" t="str">
        <f t="shared" si="10"/>
        <v>3871E</v>
      </c>
      <c r="H702">
        <v>5.4583395000000001</v>
      </c>
      <c r="I702">
        <v>52.174654500000003</v>
      </c>
      <c r="J702" t="s">
        <v>438</v>
      </c>
      <c r="K702" t="s">
        <v>260</v>
      </c>
      <c r="L702" t="s">
        <v>97</v>
      </c>
      <c r="M702" t="s">
        <v>6</v>
      </c>
    </row>
    <row r="703" spans="1:13" x14ac:dyDescent="0.25">
      <c r="A703" s="3" t="s">
        <v>99</v>
      </c>
      <c r="B703" s="4">
        <v>6</v>
      </c>
      <c r="C703" s="4"/>
      <c r="D703" s="4" t="s">
        <v>97</v>
      </c>
      <c r="E703" s="4" t="s">
        <v>6</v>
      </c>
      <c r="F703">
        <f>COUNTIFS($D$2:D703,D703)</f>
        <v>25</v>
      </c>
      <c r="G703" t="str">
        <f t="shared" si="10"/>
        <v>3871E</v>
      </c>
      <c r="H703">
        <v>5.4585002999999999</v>
      </c>
      <c r="I703">
        <v>52.1746634</v>
      </c>
      <c r="J703" t="s">
        <v>438</v>
      </c>
      <c r="K703" t="s">
        <v>262</v>
      </c>
      <c r="L703" t="s">
        <v>97</v>
      </c>
      <c r="M703" t="s">
        <v>6</v>
      </c>
    </row>
    <row r="704" spans="1:13" x14ac:dyDescent="0.25">
      <c r="A704" s="3" t="s">
        <v>100</v>
      </c>
      <c r="B704" s="4">
        <v>2</v>
      </c>
      <c r="C704" s="4"/>
      <c r="D704" s="4" t="s">
        <v>101</v>
      </c>
      <c r="E704" s="4" t="s">
        <v>6</v>
      </c>
      <c r="F704">
        <f>COUNTIFS($D$2:D704,D704)</f>
        <v>1</v>
      </c>
      <c r="G704" t="str">
        <f t="shared" si="10"/>
        <v>3871E</v>
      </c>
      <c r="H704">
        <v>5.4590094999999996</v>
      </c>
      <c r="I704">
        <v>52.173162099999999</v>
      </c>
      <c r="J704" t="s">
        <v>439</v>
      </c>
      <c r="K704" t="s">
        <v>370</v>
      </c>
      <c r="L704" t="s">
        <v>101</v>
      </c>
      <c r="M704" t="s">
        <v>6</v>
      </c>
    </row>
    <row r="705" spans="1:13" x14ac:dyDescent="0.25">
      <c r="A705" s="3" t="s">
        <v>100</v>
      </c>
      <c r="B705" s="4">
        <v>3</v>
      </c>
      <c r="C705" s="4"/>
      <c r="D705" s="4" t="s">
        <v>101</v>
      </c>
      <c r="E705" s="4" t="s">
        <v>6</v>
      </c>
      <c r="F705">
        <f>COUNTIFS($D$2:D705,D705)</f>
        <v>2</v>
      </c>
      <c r="G705" t="str">
        <f t="shared" si="10"/>
        <v>3871E</v>
      </c>
      <c r="H705">
        <v>5.4585708000000004</v>
      </c>
      <c r="I705">
        <v>52.172825600000003</v>
      </c>
      <c r="J705" t="s">
        <v>439</v>
      </c>
      <c r="K705" t="s">
        <v>356</v>
      </c>
      <c r="L705" t="s">
        <v>101</v>
      </c>
      <c r="M705" t="s">
        <v>6</v>
      </c>
    </row>
    <row r="706" spans="1:13" x14ac:dyDescent="0.25">
      <c r="A706" s="3" t="s">
        <v>100</v>
      </c>
      <c r="B706" s="4">
        <v>4</v>
      </c>
      <c r="C706" s="4"/>
      <c r="D706" s="4" t="s">
        <v>101</v>
      </c>
      <c r="E706" s="4" t="s">
        <v>6</v>
      </c>
      <c r="F706">
        <f>COUNTIFS($D$2:D706,D706)</f>
        <v>3</v>
      </c>
      <c r="G706" t="str">
        <f t="shared" ref="G706:G769" si="11">LEFT(A706,5)</f>
        <v>3871E</v>
      </c>
      <c r="H706">
        <v>5.4587756000000001</v>
      </c>
      <c r="I706">
        <v>52.173144299999997</v>
      </c>
      <c r="J706" t="s">
        <v>439</v>
      </c>
      <c r="K706" t="s">
        <v>260</v>
      </c>
      <c r="L706" t="s">
        <v>101</v>
      </c>
      <c r="M706" t="s">
        <v>6</v>
      </c>
    </row>
    <row r="707" spans="1:13" x14ac:dyDescent="0.25">
      <c r="A707" s="3" t="s">
        <v>100</v>
      </c>
      <c r="B707" s="4">
        <v>6</v>
      </c>
      <c r="C707" s="4"/>
      <c r="D707" s="4" t="s">
        <v>101</v>
      </c>
      <c r="E707" s="4" t="s">
        <v>6</v>
      </c>
      <c r="F707">
        <f>COUNTIFS($D$2:D707,D707)</f>
        <v>4</v>
      </c>
      <c r="G707" t="str">
        <f t="shared" si="11"/>
        <v>3871E</v>
      </c>
      <c r="H707">
        <v>5.4586585999999997</v>
      </c>
      <c r="I707">
        <v>52.173117400000002</v>
      </c>
      <c r="J707" t="s">
        <v>439</v>
      </c>
      <c r="K707" t="s">
        <v>262</v>
      </c>
      <c r="L707" t="s">
        <v>101</v>
      </c>
      <c r="M707" t="s">
        <v>6</v>
      </c>
    </row>
    <row r="708" spans="1:13" x14ac:dyDescent="0.25">
      <c r="A708" s="3" t="s">
        <v>100</v>
      </c>
      <c r="B708" s="4">
        <v>8</v>
      </c>
      <c r="C708" s="4"/>
      <c r="D708" s="4" t="s">
        <v>101</v>
      </c>
      <c r="E708" s="4" t="s">
        <v>6</v>
      </c>
      <c r="F708">
        <f>COUNTIFS($D$2:D708,D708)</f>
        <v>5</v>
      </c>
      <c r="G708" t="str">
        <f t="shared" si="11"/>
        <v>3871E</v>
      </c>
      <c r="H708">
        <v>5.4583955</v>
      </c>
      <c r="I708">
        <v>52.173117599999998</v>
      </c>
      <c r="J708" t="s">
        <v>439</v>
      </c>
      <c r="K708" t="s">
        <v>263</v>
      </c>
      <c r="L708" t="s">
        <v>101</v>
      </c>
      <c r="M708" t="s">
        <v>6</v>
      </c>
    </row>
    <row r="709" spans="1:13" x14ac:dyDescent="0.25">
      <c r="A709" s="3" t="s">
        <v>102</v>
      </c>
      <c r="B709" s="4">
        <v>1</v>
      </c>
      <c r="C709" s="4"/>
      <c r="D709" s="4" t="s">
        <v>103</v>
      </c>
      <c r="E709" s="4" t="s">
        <v>6</v>
      </c>
      <c r="F709">
        <f>COUNTIFS($D$2:D709,D709)</f>
        <v>1</v>
      </c>
      <c r="G709" t="str">
        <f t="shared" si="11"/>
        <v>3871E</v>
      </c>
      <c r="H709">
        <v>5.4582861999999999</v>
      </c>
      <c r="I709">
        <v>52.172286100000001</v>
      </c>
      <c r="J709" t="s">
        <v>440</v>
      </c>
      <c r="K709" t="s">
        <v>355</v>
      </c>
      <c r="L709" t="s">
        <v>103</v>
      </c>
      <c r="M709" t="s">
        <v>6</v>
      </c>
    </row>
    <row r="710" spans="1:13" x14ac:dyDescent="0.25">
      <c r="A710" s="3" t="s">
        <v>102</v>
      </c>
      <c r="B710" s="4">
        <v>2</v>
      </c>
      <c r="C710" s="4"/>
      <c r="D710" s="4" t="s">
        <v>103</v>
      </c>
      <c r="E710" s="4" t="s">
        <v>6</v>
      </c>
      <c r="F710">
        <f>COUNTIFS($D$2:D710,D710)</f>
        <v>2</v>
      </c>
      <c r="G710" t="str">
        <f t="shared" si="11"/>
        <v>3871E</v>
      </c>
      <c r="H710">
        <v>5.4581159000000001</v>
      </c>
      <c r="I710">
        <v>52.1719942</v>
      </c>
      <c r="J710" t="s">
        <v>440</v>
      </c>
      <c r="K710" t="s">
        <v>370</v>
      </c>
      <c r="L710" t="s">
        <v>103</v>
      </c>
      <c r="M710" t="s">
        <v>6</v>
      </c>
    </row>
    <row r="711" spans="1:13" x14ac:dyDescent="0.25">
      <c r="A711" s="3" t="s">
        <v>102</v>
      </c>
      <c r="B711" s="4">
        <v>3</v>
      </c>
      <c r="C711" s="4"/>
      <c r="D711" s="4" t="s">
        <v>103</v>
      </c>
      <c r="E711" s="4" t="s">
        <v>6</v>
      </c>
      <c r="F711">
        <f>COUNTIFS($D$2:D711,D711)</f>
        <v>3</v>
      </c>
      <c r="G711" t="str">
        <f t="shared" si="11"/>
        <v>3871E</v>
      </c>
      <c r="H711">
        <v>5.4585685000000002</v>
      </c>
      <c r="I711">
        <v>52.172265699999997</v>
      </c>
      <c r="J711" t="s">
        <v>440</v>
      </c>
      <c r="K711" t="s">
        <v>356</v>
      </c>
      <c r="L711" t="s">
        <v>103</v>
      </c>
      <c r="M711" t="s">
        <v>6</v>
      </c>
    </row>
    <row r="712" spans="1:13" x14ac:dyDescent="0.25">
      <c r="A712" s="3" t="s">
        <v>102</v>
      </c>
      <c r="B712" s="4">
        <v>4</v>
      </c>
      <c r="C712" s="4"/>
      <c r="D712" s="4" t="s">
        <v>103</v>
      </c>
      <c r="E712" s="4" t="s">
        <v>6</v>
      </c>
      <c r="F712">
        <f>COUNTIFS($D$2:D712,D712)</f>
        <v>4</v>
      </c>
      <c r="G712" t="str">
        <f t="shared" si="11"/>
        <v>3871E</v>
      </c>
      <c r="H712">
        <v>5.4583791000000002</v>
      </c>
      <c r="I712">
        <v>52.172021000000001</v>
      </c>
      <c r="J712" t="s">
        <v>440</v>
      </c>
      <c r="K712" t="s">
        <v>260</v>
      </c>
      <c r="L712" t="s">
        <v>103</v>
      </c>
      <c r="M712" t="s">
        <v>6</v>
      </c>
    </row>
    <row r="713" spans="1:13" x14ac:dyDescent="0.25">
      <c r="A713" s="3" t="s">
        <v>102</v>
      </c>
      <c r="B713" s="4">
        <v>5</v>
      </c>
      <c r="C713" s="4"/>
      <c r="D713" s="4" t="s">
        <v>103</v>
      </c>
      <c r="E713" s="4" t="s">
        <v>6</v>
      </c>
      <c r="F713">
        <f>COUNTIFS($D$2:D713,D713)</f>
        <v>5</v>
      </c>
      <c r="G713" t="str">
        <f t="shared" si="11"/>
        <v>3871E</v>
      </c>
      <c r="H713">
        <v>5.4589067</v>
      </c>
      <c r="I713">
        <v>52.172281400000003</v>
      </c>
      <c r="J713" t="s">
        <v>440</v>
      </c>
      <c r="K713" t="s">
        <v>357</v>
      </c>
      <c r="L713" t="s">
        <v>103</v>
      </c>
      <c r="M713" t="s">
        <v>6</v>
      </c>
    </row>
    <row r="714" spans="1:13" x14ac:dyDescent="0.25">
      <c r="A714" s="3" t="s">
        <v>102</v>
      </c>
      <c r="B714" s="4">
        <v>6</v>
      </c>
      <c r="C714" s="4"/>
      <c r="D714" s="4" t="s">
        <v>103</v>
      </c>
      <c r="E714" s="4" t="s">
        <v>6</v>
      </c>
      <c r="F714">
        <f>COUNTIFS($D$2:D714,D714)</f>
        <v>6</v>
      </c>
      <c r="G714" t="str">
        <f t="shared" si="11"/>
        <v>3871E</v>
      </c>
      <c r="H714">
        <v>5.4586173000000002</v>
      </c>
      <c r="I714">
        <v>52.171937100000001</v>
      </c>
      <c r="J714" t="s">
        <v>440</v>
      </c>
      <c r="K714" t="s">
        <v>262</v>
      </c>
      <c r="L714" t="s">
        <v>103</v>
      </c>
      <c r="M714" t="s">
        <v>6</v>
      </c>
    </row>
    <row r="715" spans="1:13" x14ac:dyDescent="0.25">
      <c r="A715" s="3" t="s">
        <v>102</v>
      </c>
      <c r="B715" s="4">
        <v>7</v>
      </c>
      <c r="C715" s="4"/>
      <c r="D715" s="4" t="s">
        <v>103</v>
      </c>
      <c r="E715" s="4" t="s">
        <v>6</v>
      </c>
      <c r="F715">
        <f>COUNTIFS($D$2:D715,D715)</f>
        <v>7</v>
      </c>
      <c r="G715" t="str">
        <f t="shared" si="11"/>
        <v>3871E</v>
      </c>
      <c r="H715">
        <v>5.4589930999999998</v>
      </c>
      <c r="I715">
        <v>52.172029700000003</v>
      </c>
      <c r="J715" t="s">
        <v>440</v>
      </c>
      <c r="K715" t="s">
        <v>358</v>
      </c>
      <c r="L715" t="s">
        <v>103</v>
      </c>
      <c r="M715" t="s">
        <v>6</v>
      </c>
    </row>
    <row r="716" spans="1:13" x14ac:dyDescent="0.25">
      <c r="A716" s="3" t="s">
        <v>104</v>
      </c>
      <c r="B716" s="4">
        <v>1</v>
      </c>
      <c r="C716" s="4"/>
      <c r="D716" s="4" t="s">
        <v>105</v>
      </c>
      <c r="E716" s="4" t="s">
        <v>6</v>
      </c>
      <c r="F716">
        <f>COUNTIFS($D$2:D716,D716)</f>
        <v>1</v>
      </c>
      <c r="G716" t="str">
        <f t="shared" si="11"/>
        <v>3871E</v>
      </c>
      <c r="H716">
        <v>5.4626685000000004</v>
      </c>
      <c r="I716">
        <v>52.175712400000002</v>
      </c>
      <c r="J716" t="s">
        <v>441</v>
      </c>
      <c r="K716" t="s">
        <v>355</v>
      </c>
      <c r="L716" t="s">
        <v>105</v>
      </c>
      <c r="M716" t="s">
        <v>6</v>
      </c>
    </row>
    <row r="717" spans="1:13" x14ac:dyDescent="0.25">
      <c r="A717" s="3" t="s">
        <v>104</v>
      </c>
      <c r="B717" s="4">
        <v>5</v>
      </c>
      <c r="C717" s="4"/>
      <c r="D717" s="4" t="s">
        <v>105</v>
      </c>
      <c r="E717" s="4" t="s">
        <v>6</v>
      </c>
      <c r="F717">
        <f>COUNTIFS($D$2:D717,D717)</f>
        <v>2</v>
      </c>
      <c r="G717" t="str">
        <f t="shared" si="11"/>
        <v>3871E</v>
      </c>
      <c r="H717">
        <v>5.4625950000000003</v>
      </c>
      <c r="I717">
        <v>52.175505700000002</v>
      </c>
      <c r="J717" t="s">
        <v>441</v>
      </c>
      <c r="K717" t="s">
        <v>357</v>
      </c>
      <c r="L717" t="s">
        <v>105</v>
      </c>
      <c r="M717" t="s">
        <v>6</v>
      </c>
    </row>
    <row r="718" spans="1:13" x14ac:dyDescent="0.25">
      <c r="A718" s="3" t="s">
        <v>104</v>
      </c>
      <c r="B718" s="4">
        <v>7</v>
      </c>
      <c r="C718" s="4"/>
      <c r="D718" s="4" t="s">
        <v>105</v>
      </c>
      <c r="E718" s="4" t="s">
        <v>6</v>
      </c>
      <c r="F718">
        <f>COUNTIFS($D$2:D718,D718)</f>
        <v>3</v>
      </c>
      <c r="G718" t="str">
        <f t="shared" si="11"/>
        <v>3871E</v>
      </c>
      <c r="H718">
        <v>5.4625802999999999</v>
      </c>
      <c r="I718">
        <v>52.175460800000003</v>
      </c>
      <c r="J718" t="s">
        <v>441</v>
      </c>
      <c r="K718" t="s">
        <v>358</v>
      </c>
      <c r="L718" t="s">
        <v>105</v>
      </c>
      <c r="M718" t="s">
        <v>6</v>
      </c>
    </row>
    <row r="719" spans="1:13" x14ac:dyDescent="0.25">
      <c r="A719" s="3" t="s">
        <v>104</v>
      </c>
      <c r="B719" s="4">
        <v>9</v>
      </c>
      <c r="C719" s="4"/>
      <c r="D719" s="4" t="s">
        <v>105</v>
      </c>
      <c r="E719" s="4" t="s">
        <v>6</v>
      </c>
      <c r="F719">
        <f>COUNTIFS($D$2:D719,D719)</f>
        <v>4</v>
      </c>
      <c r="G719" t="str">
        <f t="shared" si="11"/>
        <v>3871E</v>
      </c>
      <c r="H719">
        <v>5.4625510000000004</v>
      </c>
      <c r="I719">
        <v>52.1753979</v>
      </c>
      <c r="J719" t="s">
        <v>441</v>
      </c>
      <c r="K719" t="s">
        <v>382</v>
      </c>
      <c r="L719" t="s">
        <v>105</v>
      </c>
      <c r="M719" t="s">
        <v>6</v>
      </c>
    </row>
    <row r="720" spans="1:13" x14ac:dyDescent="0.25">
      <c r="A720" s="3" t="s">
        <v>104</v>
      </c>
      <c r="B720" s="4">
        <v>11</v>
      </c>
      <c r="C720" s="4"/>
      <c r="D720" s="4" t="s">
        <v>105</v>
      </c>
      <c r="E720" s="4" t="s">
        <v>6</v>
      </c>
      <c r="F720">
        <f>COUNTIFS($D$2:D720,D720)</f>
        <v>5</v>
      </c>
      <c r="G720" t="str">
        <f t="shared" si="11"/>
        <v>3871E</v>
      </c>
      <c r="H720">
        <v>5.4625069999999996</v>
      </c>
      <c r="I720">
        <v>52.175308100000002</v>
      </c>
      <c r="J720" t="s">
        <v>441</v>
      </c>
      <c r="K720" t="s">
        <v>391</v>
      </c>
      <c r="L720" t="s">
        <v>105</v>
      </c>
      <c r="M720" t="s">
        <v>6</v>
      </c>
    </row>
    <row r="721" spans="1:13" x14ac:dyDescent="0.25">
      <c r="A721" s="3" t="s">
        <v>104</v>
      </c>
      <c r="B721" s="4">
        <v>13</v>
      </c>
      <c r="C721" s="4"/>
      <c r="D721" s="4" t="s">
        <v>105</v>
      </c>
      <c r="E721" s="4" t="s">
        <v>6</v>
      </c>
      <c r="F721">
        <f>COUNTIFS($D$2:D721,D721)</f>
        <v>6</v>
      </c>
      <c r="G721" t="str">
        <f t="shared" si="11"/>
        <v>3871E</v>
      </c>
      <c r="H721">
        <v>5.4625069000000002</v>
      </c>
      <c r="I721">
        <v>52.175245099999998</v>
      </c>
      <c r="J721" t="s">
        <v>441</v>
      </c>
      <c r="K721" t="s">
        <v>359</v>
      </c>
      <c r="L721" t="s">
        <v>105</v>
      </c>
      <c r="M721" t="s">
        <v>6</v>
      </c>
    </row>
    <row r="722" spans="1:13" x14ac:dyDescent="0.25">
      <c r="A722" s="3" t="s">
        <v>104</v>
      </c>
      <c r="B722" s="4">
        <v>15</v>
      </c>
      <c r="C722" s="4"/>
      <c r="D722" s="4" t="s">
        <v>105</v>
      </c>
      <c r="E722" s="4" t="s">
        <v>6</v>
      </c>
      <c r="F722">
        <f>COUNTIFS($D$2:D722,D722)</f>
        <v>7</v>
      </c>
      <c r="G722" t="str">
        <f t="shared" si="11"/>
        <v>3871E</v>
      </c>
      <c r="H722">
        <v>5.4624775000000003</v>
      </c>
      <c r="I722">
        <v>52.175182200000002</v>
      </c>
      <c r="J722" t="s">
        <v>441</v>
      </c>
      <c r="K722" t="s">
        <v>383</v>
      </c>
      <c r="L722" t="s">
        <v>105</v>
      </c>
      <c r="M722" t="s">
        <v>6</v>
      </c>
    </row>
    <row r="723" spans="1:13" x14ac:dyDescent="0.25">
      <c r="A723" s="3" t="s">
        <v>104</v>
      </c>
      <c r="B723" s="4">
        <v>17</v>
      </c>
      <c r="C723" s="4"/>
      <c r="D723" s="4" t="s">
        <v>105</v>
      </c>
      <c r="E723" s="4" t="s">
        <v>6</v>
      </c>
      <c r="F723">
        <f>COUNTIFS($D$2:D723,D723)</f>
        <v>8</v>
      </c>
      <c r="G723" t="str">
        <f t="shared" si="11"/>
        <v>3871E</v>
      </c>
      <c r="H723">
        <v>5.4625797</v>
      </c>
      <c r="I723">
        <v>52.175074299999999</v>
      </c>
      <c r="J723" t="s">
        <v>441</v>
      </c>
      <c r="K723" t="s">
        <v>360</v>
      </c>
      <c r="L723" t="s">
        <v>105</v>
      </c>
      <c r="M723" t="s">
        <v>6</v>
      </c>
    </row>
    <row r="724" spans="1:13" x14ac:dyDescent="0.25">
      <c r="A724" s="3" t="s">
        <v>104</v>
      </c>
      <c r="B724" s="4">
        <v>19</v>
      </c>
      <c r="C724" s="4"/>
      <c r="D724" s="4" t="s">
        <v>105</v>
      </c>
      <c r="E724" s="4" t="s">
        <v>6</v>
      </c>
      <c r="F724">
        <f>COUNTIFS($D$2:D724,D724)</f>
        <v>9</v>
      </c>
      <c r="G724" t="str">
        <f t="shared" si="11"/>
        <v>3871E</v>
      </c>
      <c r="H724">
        <v>5.4626087999999999</v>
      </c>
      <c r="I724">
        <v>52.175011400000002</v>
      </c>
      <c r="J724" t="s">
        <v>441</v>
      </c>
      <c r="K724" t="s">
        <v>361</v>
      </c>
      <c r="L724" t="s">
        <v>105</v>
      </c>
      <c r="M724" t="s">
        <v>6</v>
      </c>
    </row>
    <row r="725" spans="1:13" x14ac:dyDescent="0.25">
      <c r="A725" s="3" t="s">
        <v>104</v>
      </c>
      <c r="B725" s="4">
        <v>21</v>
      </c>
      <c r="C725" s="4"/>
      <c r="D725" s="4" t="s">
        <v>105</v>
      </c>
      <c r="E725" s="4" t="s">
        <v>6</v>
      </c>
      <c r="F725">
        <f>COUNTIFS($D$2:D725,D725)</f>
        <v>10</v>
      </c>
      <c r="G725" t="str">
        <f t="shared" si="11"/>
        <v>3871E</v>
      </c>
      <c r="H725">
        <v>5.4625937999999996</v>
      </c>
      <c r="I725">
        <v>52.174795699999997</v>
      </c>
      <c r="J725" t="s">
        <v>441</v>
      </c>
      <c r="K725" t="s">
        <v>362</v>
      </c>
      <c r="L725" t="s">
        <v>105</v>
      </c>
      <c r="M725" t="s">
        <v>6</v>
      </c>
    </row>
    <row r="726" spans="1:13" x14ac:dyDescent="0.25">
      <c r="A726" s="3" t="s">
        <v>104</v>
      </c>
      <c r="B726" s="4">
        <v>23</v>
      </c>
      <c r="C726" s="4"/>
      <c r="D726" s="4" t="s">
        <v>105</v>
      </c>
      <c r="E726" s="4" t="s">
        <v>6</v>
      </c>
      <c r="F726">
        <f>COUNTIFS($D$2:D726,D726)</f>
        <v>11</v>
      </c>
      <c r="G726" t="str">
        <f t="shared" si="11"/>
        <v>3871E</v>
      </c>
      <c r="H726">
        <v>5.4626229999999998</v>
      </c>
      <c r="I726">
        <v>52.174741699999998</v>
      </c>
      <c r="J726" t="s">
        <v>441</v>
      </c>
      <c r="K726" t="s">
        <v>384</v>
      </c>
      <c r="L726" t="s">
        <v>105</v>
      </c>
      <c r="M726" t="s">
        <v>6</v>
      </c>
    </row>
    <row r="727" spans="1:13" x14ac:dyDescent="0.25">
      <c r="A727" s="3" t="s">
        <v>104</v>
      </c>
      <c r="B727" s="4">
        <v>25</v>
      </c>
      <c r="C727" s="4"/>
      <c r="D727" s="4" t="s">
        <v>105</v>
      </c>
      <c r="E727" s="4" t="s">
        <v>6</v>
      </c>
      <c r="F727">
        <f>COUNTIFS($D$2:D727,D727)</f>
        <v>12</v>
      </c>
      <c r="G727" t="str">
        <f t="shared" si="11"/>
        <v>3871E</v>
      </c>
      <c r="H727">
        <v>5.4626229000000004</v>
      </c>
      <c r="I727">
        <v>52.174687800000001</v>
      </c>
      <c r="J727" t="s">
        <v>441</v>
      </c>
      <c r="K727" t="s">
        <v>385</v>
      </c>
      <c r="L727" t="s">
        <v>105</v>
      </c>
      <c r="M727" t="s">
        <v>6</v>
      </c>
    </row>
    <row r="728" spans="1:13" x14ac:dyDescent="0.25">
      <c r="A728" s="3" t="s">
        <v>104</v>
      </c>
      <c r="B728" s="4">
        <v>27</v>
      </c>
      <c r="C728" s="4"/>
      <c r="D728" s="4" t="s">
        <v>105</v>
      </c>
      <c r="E728" s="4" t="s">
        <v>6</v>
      </c>
      <c r="F728">
        <f>COUNTIFS($D$2:D728,D728)</f>
        <v>13</v>
      </c>
      <c r="G728" t="str">
        <f t="shared" si="11"/>
        <v>3871E</v>
      </c>
      <c r="H728">
        <v>5.4626228000000001</v>
      </c>
      <c r="I728">
        <v>52.174624899999998</v>
      </c>
      <c r="J728" t="s">
        <v>441</v>
      </c>
      <c r="K728" t="s">
        <v>393</v>
      </c>
      <c r="L728" t="s">
        <v>105</v>
      </c>
      <c r="M728" t="s">
        <v>6</v>
      </c>
    </row>
    <row r="729" spans="1:13" x14ac:dyDescent="0.25">
      <c r="A729" s="3" t="s">
        <v>104</v>
      </c>
      <c r="B729" s="4">
        <v>29</v>
      </c>
      <c r="C729" s="4"/>
      <c r="D729" s="4" t="s">
        <v>105</v>
      </c>
      <c r="E729" s="4" t="s">
        <v>6</v>
      </c>
      <c r="F729">
        <f>COUNTIFS($D$2:D729,D729)</f>
        <v>14</v>
      </c>
      <c r="G729" t="str">
        <f t="shared" si="11"/>
        <v>3871E</v>
      </c>
      <c r="H729">
        <v>5.4626226999999998</v>
      </c>
      <c r="I729">
        <v>52.174571</v>
      </c>
      <c r="J729" t="s">
        <v>441</v>
      </c>
      <c r="K729" t="s">
        <v>364</v>
      </c>
      <c r="L729" t="s">
        <v>105</v>
      </c>
      <c r="M729" t="s">
        <v>6</v>
      </c>
    </row>
    <row r="730" spans="1:13" x14ac:dyDescent="0.25">
      <c r="A730" s="3" t="s">
        <v>104</v>
      </c>
      <c r="B730" s="4">
        <v>31</v>
      </c>
      <c r="C730" s="4"/>
      <c r="D730" s="4" t="s">
        <v>105</v>
      </c>
      <c r="E730" s="4" t="s">
        <v>6</v>
      </c>
      <c r="F730">
        <f>COUNTIFS($D$2:D730,D730)</f>
        <v>15</v>
      </c>
      <c r="G730" t="str">
        <f t="shared" si="11"/>
        <v>3871E</v>
      </c>
      <c r="H730">
        <v>5.4626226000000004</v>
      </c>
      <c r="I730">
        <v>52.174517000000002</v>
      </c>
      <c r="J730" t="s">
        <v>441</v>
      </c>
      <c r="K730" t="s">
        <v>323</v>
      </c>
      <c r="L730" t="s">
        <v>105</v>
      </c>
      <c r="M730" t="s">
        <v>6</v>
      </c>
    </row>
    <row r="731" spans="1:13" x14ac:dyDescent="0.25">
      <c r="A731" s="3" t="s">
        <v>106</v>
      </c>
      <c r="B731" s="4">
        <v>33</v>
      </c>
      <c r="C731" s="4"/>
      <c r="D731" s="4" t="s">
        <v>105</v>
      </c>
      <c r="E731" s="4" t="s">
        <v>6</v>
      </c>
      <c r="F731">
        <f>COUNTIFS($D$2:D731,D731)</f>
        <v>16</v>
      </c>
      <c r="G731" t="str">
        <f t="shared" si="11"/>
        <v>3871E</v>
      </c>
      <c r="H731">
        <v>5.4624173999999996</v>
      </c>
      <c r="I731">
        <v>52.1742116</v>
      </c>
      <c r="J731" t="s">
        <v>442</v>
      </c>
      <c r="K731" t="s">
        <v>365</v>
      </c>
      <c r="L731" t="s">
        <v>105</v>
      </c>
      <c r="M731" t="s">
        <v>6</v>
      </c>
    </row>
    <row r="732" spans="1:13" x14ac:dyDescent="0.25">
      <c r="A732" s="3" t="s">
        <v>106</v>
      </c>
      <c r="B732" s="4">
        <v>39</v>
      </c>
      <c r="C732" s="4"/>
      <c r="D732" s="4" t="s">
        <v>105</v>
      </c>
      <c r="E732" s="4" t="s">
        <v>6</v>
      </c>
      <c r="F732">
        <f>COUNTIFS($D$2:D732,D732)</f>
        <v>17</v>
      </c>
      <c r="G732" t="str">
        <f t="shared" si="11"/>
        <v>3871E</v>
      </c>
      <c r="H732">
        <v>5.4624462999999999</v>
      </c>
      <c r="I732">
        <v>52.173995900000001</v>
      </c>
      <c r="J732" t="s">
        <v>442</v>
      </c>
      <c r="K732" t="s">
        <v>368</v>
      </c>
      <c r="L732" t="s">
        <v>105</v>
      </c>
      <c r="M732" t="s">
        <v>6</v>
      </c>
    </row>
    <row r="733" spans="1:13" x14ac:dyDescent="0.25">
      <c r="A733" s="3" t="s">
        <v>106</v>
      </c>
      <c r="B733" s="4">
        <v>45</v>
      </c>
      <c r="C733" s="4" t="s">
        <v>12</v>
      </c>
      <c r="D733" s="4" t="s">
        <v>105</v>
      </c>
      <c r="E733" s="4" t="s">
        <v>6</v>
      </c>
      <c r="F733">
        <f>COUNTIFS($D$2:D733,D733)</f>
        <v>18</v>
      </c>
      <c r="G733" t="str">
        <f t="shared" si="11"/>
        <v>3871E</v>
      </c>
      <c r="H733">
        <v>5.4625915000000003</v>
      </c>
      <c r="I733">
        <v>52.173411600000001</v>
      </c>
      <c r="J733" t="s">
        <v>442</v>
      </c>
      <c r="K733" t="s">
        <v>443</v>
      </c>
      <c r="L733" t="s">
        <v>105</v>
      </c>
      <c r="M733" t="s">
        <v>6</v>
      </c>
    </row>
    <row r="734" spans="1:13" x14ac:dyDescent="0.25">
      <c r="A734" s="3" t="s">
        <v>106</v>
      </c>
      <c r="B734" s="4">
        <v>45</v>
      </c>
      <c r="C734" s="4" t="s">
        <v>13</v>
      </c>
      <c r="D734" s="4" t="s">
        <v>105</v>
      </c>
      <c r="E734" s="4" t="s">
        <v>6</v>
      </c>
      <c r="F734">
        <f>COUNTIFS($D$2:D734,D734)</f>
        <v>19</v>
      </c>
      <c r="G734" t="str">
        <f t="shared" si="11"/>
        <v>3871E</v>
      </c>
      <c r="H734">
        <v>5.4626058999999998</v>
      </c>
      <c r="I734">
        <v>52.173303699999998</v>
      </c>
      <c r="J734" t="s">
        <v>442</v>
      </c>
      <c r="K734" t="s">
        <v>444</v>
      </c>
      <c r="L734" t="s">
        <v>105</v>
      </c>
      <c r="M734" t="s">
        <v>6</v>
      </c>
    </row>
    <row r="735" spans="1:13" x14ac:dyDescent="0.25">
      <c r="A735" s="3" t="s">
        <v>106</v>
      </c>
      <c r="B735" s="4">
        <v>45</v>
      </c>
      <c r="C735" s="4" t="s">
        <v>8</v>
      </c>
      <c r="D735" s="4" t="s">
        <v>105</v>
      </c>
      <c r="E735" s="4" t="s">
        <v>6</v>
      </c>
      <c r="F735">
        <f>COUNTIFS($D$2:D735,D735)</f>
        <v>20</v>
      </c>
      <c r="G735" t="str">
        <f t="shared" si="11"/>
        <v>3871E</v>
      </c>
      <c r="H735">
        <v>5.4625624000000004</v>
      </c>
      <c r="I735">
        <v>52.173501399999999</v>
      </c>
      <c r="J735" t="s">
        <v>442</v>
      </c>
      <c r="K735" t="s">
        <v>445</v>
      </c>
      <c r="L735" t="s">
        <v>105</v>
      </c>
      <c r="M735" t="s">
        <v>6</v>
      </c>
    </row>
    <row r="736" spans="1:13" x14ac:dyDescent="0.25">
      <c r="A736" s="3" t="s">
        <v>106</v>
      </c>
      <c r="B736" s="4">
        <v>47</v>
      </c>
      <c r="C736" s="4"/>
      <c r="D736" s="4" t="s">
        <v>105</v>
      </c>
      <c r="E736" s="4" t="s">
        <v>6</v>
      </c>
      <c r="F736">
        <f>COUNTIFS($D$2:D736,D736)</f>
        <v>21</v>
      </c>
      <c r="G736" t="str">
        <f t="shared" si="11"/>
        <v>3871E</v>
      </c>
      <c r="H736">
        <v>5.4626203999999996</v>
      </c>
      <c r="I736">
        <v>52.173240800000002</v>
      </c>
      <c r="J736" t="s">
        <v>442</v>
      </c>
      <c r="K736" t="s">
        <v>328</v>
      </c>
      <c r="L736" t="s">
        <v>105</v>
      </c>
      <c r="M736" t="s">
        <v>6</v>
      </c>
    </row>
    <row r="737" spans="1:13" x14ac:dyDescent="0.25">
      <c r="A737" s="3" t="s">
        <v>106</v>
      </c>
      <c r="B737" s="4">
        <v>47</v>
      </c>
      <c r="C737" s="4" t="s">
        <v>8</v>
      </c>
      <c r="D737" s="4" t="s">
        <v>105</v>
      </c>
      <c r="E737" s="4" t="s">
        <v>6</v>
      </c>
      <c r="F737">
        <f>COUNTIFS($D$2:D737,D737)</f>
        <v>22</v>
      </c>
      <c r="G737" t="str">
        <f t="shared" si="11"/>
        <v>3871E</v>
      </c>
      <c r="H737">
        <v>5.4629273999999999</v>
      </c>
      <c r="I737">
        <v>52.173249599999998</v>
      </c>
      <c r="J737" t="s">
        <v>442</v>
      </c>
      <c r="K737" t="s">
        <v>446</v>
      </c>
      <c r="L737" t="s">
        <v>105</v>
      </c>
      <c r="M737" t="s">
        <v>6</v>
      </c>
    </row>
    <row r="738" spans="1:13" x14ac:dyDescent="0.25">
      <c r="A738" s="3" t="s">
        <v>106</v>
      </c>
      <c r="B738" s="4">
        <v>47</v>
      </c>
      <c r="C738" s="4" t="s">
        <v>12</v>
      </c>
      <c r="D738" s="4" t="s">
        <v>105</v>
      </c>
      <c r="E738" s="4" t="s">
        <v>6</v>
      </c>
      <c r="F738">
        <f>COUNTIFS($D$2:D738,D738)</f>
        <v>23</v>
      </c>
      <c r="G738" t="str">
        <f t="shared" si="11"/>
        <v>3871E</v>
      </c>
      <c r="H738">
        <v>5.4631759999999998</v>
      </c>
      <c r="I738">
        <v>52.173276399999999</v>
      </c>
      <c r="J738" t="s">
        <v>442</v>
      </c>
      <c r="K738" t="s">
        <v>447</v>
      </c>
      <c r="L738" t="s">
        <v>105</v>
      </c>
      <c r="M738" t="s">
        <v>6</v>
      </c>
    </row>
    <row r="739" spans="1:13" x14ac:dyDescent="0.25">
      <c r="A739" s="3" t="s">
        <v>106</v>
      </c>
      <c r="B739" s="4">
        <v>53</v>
      </c>
      <c r="C739" s="4"/>
      <c r="D739" s="4" t="s">
        <v>105</v>
      </c>
      <c r="E739" s="4" t="s">
        <v>6</v>
      </c>
      <c r="F739">
        <f>COUNTIFS($D$2:D739,D739)</f>
        <v>24</v>
      </c>
      <c r="G739" t="str">
        <f t="shared" si="11"/>
        <v>3871E</v>
      </c>
      <c r="H739">
        <v>5.4615505000000004</v>
      </c>
      <c r="I739">
        <v>52.171605599999999</v>
      </c>
      <c r="J739" t="s">
        <v>442</v>
      </c>
      <c r="K739" t="s">
        <v>332</v>
      </c>
      <c r="L739" t="s">
        <v>105</v>
      </c>
      <c r="M739" t="s">
        <v>6</v>
      </c>
    </row>
    <row r="740" spans="1:13" x14ac:dyDescent="0.25">
      <c r="A740" s="3" t="s">
        <v>106</v>
      </c>
      <c r="B740" s="4">
        <v>55</v>
      </c>
      <c r="C740" s="4"/>
      <c r="D740" s="4" t="s">
        <v>105</v>
      </c>
      <c r="E740" s="4" t="s">
        <v>6</v>
      </c>
      <c r="F740">
        <f>COUNTIFS($D$2:D740,D740)</f>
        <v>25</v>
      </c>
      <c r="G740" t="str">
        <f t="shared" si="11"/>
        <v>3871E</v>
      </c>
      <c r="H740">
        <v>5.4614773999999997</v>
      </c>
      <c r="I740">
        <v>52.171596700000002</v>
      </c>
      <c r="J740" t="s">
        <v>442</v>
      </c>
      <c r="K740" t="s">
        <v>333</v>
      </c>
      <c r="L740" t="s">
        <v>105</v>
      </c>
      <c r="M740" t="s">
        <v>6</v>
      </c>
    </row>
    <row r="741" spans="1:13" x14ac:dyDescent="0.25">
      <c r="A741" s="3" t="s">
        <v>106</v>
      </c>
      <c r="B741" s="4">
        <v>57</v>
      </c>
      <c r="C741" s="4"/>
      <c r="D741" s="4" t="s">
        <v>105</v>
      </c>
      <c r="E741" s="4" t="s">
        <v>6</v>
      </c>
      <c r="F741">
        <f>COUNTIFS($D$2:D741,D741)</f>
        <v>26</v>
      </c>
      <c r="G741" t="str">
        <f t="shared" si="11"/>
        <v>3871E</v>
      </c>
      <c r="H741">
        <v>5.4613896999999998</v>
      </c>
      <c r="I741">
        <v>52.171596800000003</v>
      </c>
      <c r="J741" t="s">
        <v>442</v>
      </c>
      <c r="K741" t="s">
        <v>334</v>
      </c>
      <c r="L741" t="s">
        <v>105</v>
      </c>
      <c r="M741" t="s">
        <v>6</v>
      </c>
    </row>
    <row r="742" spans="1:13" x14ac:dyDescent="0.25">
      <c r="A742" s="3" t="s">
        <v>106</v>
      </c>
      <c r="B742" s="4">
        <v>59</v>
      </c>
      <c r="C742" s="4"/>
      <c r="D742" s="4" t="s">
        <v>105</v>
      </c>
      <c r="E742" s="4" t="s">
        <v>6</v>
      </c>
      <c r="F742">
        <f>COUNTIFS($D$2:D742,D742)</f>
        <v>27</v>
      </c>
      <c r="G742" t="str">
        <f t="shared" si="11"/>
        <v>3871E</v>
      </c>
      <c r="H742">
        <v>5.4612727999999997</v>
      </c>
      <c r="I742">
        <v>52.171596800000003</v>
      </c>
      <c r="J742" t="s">
        <v>442</v>
      </c>
      <c r="K742" t="s">
        <v>335</v>
      </c>
      <c r="L742" t="s">
        <v>105</v>
      </c>
      <c r="M742" t="s">
        <v>6</v>
      </c>
    </row>
    <row r="743" spans="1:13" x14ac:dyDescent="0.25">
      <c r="A743" s="3" t="s">
        <v>106</v>
      </c>
      <c r="B743" s="4">
        <v>63</v>
      </c>
      <c r="C743" s="4"/>
      <c r="D743" s="4" t="s">
        <v>105</v>
      </c>
      <c r="E743" s="4" t="s">
        <v>6</v>
      </c>
      <c r="F743">
        <f>COUNTIFS($D$2:D743,D743)</f>
        <v>28</v>
      </c>
      <c r="G743" t="str">
        <f t="shared" si="11"/>
        <v>3871E</v>
      </c>
      <c r="H743">
        <v>5.4611266000000001</v>
      </c>
      <c r="I743">
        <v>52.171587899999999</v>
      </c>
      <c r="J743" t="s">
        <v>442</v>
      </c>
      <c r="K743" t="s">
        <v>339</v>
      </c>
      <c r="L743" t="s">
        <v>105</v>
      </c>
      <c r="M743" t="s">
        <v>6</v>
      </c>
    </row>
    <row r="744" spans="1:13" x14ac:dyDescent="0.25">
      <c r="A744" s="3" t="s">
        <v>106</v>
      </c>
      <c r="B744" s="4">
        <v>67</v>
      </c>
      <c r="C744" s="4"/>
      <c r="D744" s="4" t="s">
        <v>105</v>
      </c>
      <c r="E744" s="4" t="s">
        <v>6</v>
      </c>
      <c r="F744">
        <f>COUNTIFS($D$2:D744,D744)</f>
        <v>29</v>
      </c>
      <c r="G744" t="str">
        <f t="shared" si="11"/>
        <v>3871E</v>
      </c>
      <c r="H744">
        <v>5.460572</v>
      </c>
      <c r="I744">
        <v>52.171567899999999</v>
      </c>
      <c r="J744" t="s">
        <v>442</v>
      </c>
      <c r="K744" t="s">
        <v>448</v>
      </c>
      <c r="L744" t="s">
        <v>105</v>
      </c>
      <c r="M744" t="s">
        <v>6</v>
      </c>
    </row>
    <row r="745" spans="1:13" x14ac:dyDescent="0.25">
      <c r="A745" s="3" t="s">
        <v>106</v>
      </c>
      <c r="B745" s="4">
        <v>69</v>
      </c>
      <c r="C745" s="4"/>
      <c r="D745" s="4" t="s">
        <v>105</v>
      </c>
      <c r="E745" s="4" t="s">
        <v>6</v>
      </c>
      <c r="F745">
        <f>COUNTIFS($D$2:D745,D745)</f>
        <v>30</v>
      </c>
      <c r="G745" t="str">
        <f t="shared" si="11"/>
        <v>3871E</v>
      </c>
      <c r="H745">
        <v>5.4604806000000004</v>
      </c>
      <c r="I745">
        <v>52.171554</v>
      </c>
      <c r="J745" t="s">
        <v>442</v>
      </c>
      <c r="K745" t="s">
        <v>449</v>
      </c>
      <c r="L745" t="s">
        <v>105</v>
      </c>
      <c r="M745" t="s">
        <v>6</v>
      </c>
    </row>
    <row r="746" spans="1:13" x14ac:dyDescent="0.25">
      <c r="A746" s="3" t="s">
        <v>106</v>
      </c>
      <c r="B746" s="4">
        <v>71</v>
      </c>
      <c r="C746" s="4"/>
      <c r="D746" s="4" t="s">
        <v>105</v>
      </c>
      <c r="E746" s="4" t="s">
        <v>6</v>
      </c>
      <c r="F746">
        <f>COUNTIFS($D$2:D746,D746)</f>
        <v>31</v>
      </c>
      <c r="G746" t="str">
        <f t="shared" si="11"/>
        <v>3871E</v>
      </c>
      <c r="H746">
        <v>5.4603859000000003</v>
      </c>
      <c r="I746">
        <v>52.171537600000001</v>
      </c>
      <c r="J746" t="s">
        <v>442</v>
      </c>
      <c r="K746" t="s">
        <v>340</v>
      </c>
      <c r="L746" t="s">
        <v>105</v>
      </c>
      <c r="M746" t="s">
        <v>6</v>
      </c>
    </row>
    <row r="747" spans="1:13" x14ac:dyDescent="0.25">
      <c r="A747" s="3" t="s">
        <v>106</v>
      </c>
      <c r="B747" s="4">
        <v>73</v>
      </c>
      <c r="C747" s="4"/>
      <c r="D747" s="4" t="s">
        <v>105</v>
      </c>
      <c r="E747" s="4" t="s">
        <v>6</v>
      </c>
      <c r="F747">
        <f>COUNTIFS($D$2:D747,D747)</f>
        <v>32</v>
      </c>
      <c r="G747" t="str">
        <f t="shared" si="11"/>
        <v>3871E</v>
      </c>
      <c r="H747">
        <v>5.4602975999999996</v>
      </c>
      <c r="I747">
        <v>52.171521900000002</v>
      </c>
      <c r="J747" t="s">
        <v>442</v>
      </c>
      <c r="K747" t="s">
        <v>341</v>
      </c>
      <c r="L747" t="s">
        <v>105</v>
      </c>
      <c r="M747" t="s">
        <v>6</v>
      </c>
    </row>
    <row r="748" spans="1:13" x14ac:dyDescent="0.25">
      <c r="A748" s="3" t="s">
        <v>106</v>
      </c>
      <c r="B748" s="4">
        <v>75</v>
      </c>
      <c r="C748" s="4"/>
      <c r="D748" s="4" t="s">
        <v>105</v>
      </c>
      <c r="E748" s="4" t="s">
        <v>6</v>
      </c>
      <c r="F748">
        <f>COUNTIFS($D$2:D748,D748)</f>
        <v>33</v>
      </c>
      <c r="G748" t="str">
        <f t="shared" si="11"/>
        <v>3871E</v>
      </c>
      <c r="H748">
        <v>5.4601031999999998</v>
      </c>
      <c r="I748">
        <v>52.171480699999996</v>
      </c>
      <c r="J748" t="s">
        <v>442</v>
      </c>
      <c r="K748" t="s">
        <v>450</v>
      </c>
      <c r="L748" t="s">
        <v>105</v>
      </c>
      <c r="M748" t="s">
        <v>6</v>
      </c>
    </row>
    <row r="749" spans="1:13" x14ac:dyDescent="0.25">
      <c r="A749" s="3" t="s">
        <v>106</v>
      </c>
      <c r="B749" s="4">
        <v>77</v>
      </c>
      <c r="C749" s="4"/>
      <c r="D749" s="4" t="s">
        <v>105</v>
      </c>
      <c r="E749" s="4" t="s">
        <v>6</v>
      </c>
      <c r="F749">
        <f>COUNTIFS($D$2:D749,D749)</f>
        <v>34</v>
      </c>
      <c r="G749" t="str">
        <f t="shared" si="11"/>
        <v>3871E</v>
      </c>
      <c r="H749">
        <v>5.4599130999999996</v>
      </c>
      <c r="I749">
        <v>52.171462900000002</v>
      </c>
      <c r="J749" t="s">
        <v>442</v>
      </c>
      <c r="K749" t="s">
        <v>342</v>
      </c>
      <c r="L749" t="s">
        <v>105</v>
      </c>
      <c r="M749" t="s">
        <v>6</v>
      </c>
    </row>
    <row r="750" spans="1:13" x14ac:dyDescent="0.25">
      <c r="A750" s="3" t="s">
        <v>106</v>
      </c>
      <c r="B750" s="4">
        <v>79</v>
      </c>
      <c r="C750" s="4"/>
      <c r="D750" s="4" t="s">
        <v>105</v>
      </c>
      <c r="E750" s="4" t="s">
        <v>6</v>
      </c>
      <c r="F750">
        <f>COUNTIFS($D$2:D750,D750)</f>
        <v>35</v>
      </c>
      <c r="G750" t="str">
        <f t="shared" si="11"/>
        <v>3871E</v>
      </c>
      <c r="H750">
        <v>5.4597522999999999</v>
      </c>
      <c r="I750">
        <v>52.171453999999997</v>
      </c>
      <c r="J750" t="s">
        <v>442</v>
      </c>
      <c r="K750" t="s">
        <v>343</v>
      </c>
      <c r="L750" t="s">
        <v>105</v>
      </c>
      <c r="M750" t="s">
        <v>6</v>
      </c>
    </row>
    <row r="751" spans="1:13" x14ac:dyDescent="0.25">
      <c r="A751" s="3" t="s">
        <v>106</v>
      </c>
      <c r="B751" s="4">
        <v>81</v>
      </c>
      <c r="C751" s="4"/>
      <c r="D751" s="4" t="s">
        <v>105</v>
      </c>
      <c r="E751" s="4" t="s">
        <v>6</v>
      </c>
      <c r="F751">
        <f>COUNTIFS($D$2:D751,D751)</f>
        <v>36</v>
      </c>
      <c r="G751" t="str">
        <f t="shared" si="11"/>
        <v>3871E</v>
      </c>
      <c r="H751">
        <v>5.4595623</v>
      </c>
      <c r="I751">
        <v>52.171454099999998</v>
      </c>
      <c r="J751" t="s">
        <v>442</v>
      </c>
      <c r="K751" t="s">
        <v>344</v>
      </c>
      <c r="L751" t="s">
        <v>105</v>
      </c>
      <c r="M751" t="s">
        <v>6</v>
      </c>
    </row>
    <row r="752" spans="1:13" x14ac:dyDescent="0.25">
      <c r="A752" s="3" t="s">
        <v>107</v>
      </c>
      <c r="B752" s="4">
        <v>2</v>
      </c>
      <c r="C752" s="4"/>
      <c r="D752" s="4" t="s">
        <v>105</v>
      </c>
      <c r="E752" s="4" t="s">
        <v>6</v>
      </c>
      <c r="F752">
        <f>COUNTIFS($D$2:D752,D752)</f>
        <v>37</v>
      </c>
      <c r="G752" t="str">
        <f t="shared" si="11"/>
        <v>3871E</v>
      </c>
      <c r="H752">
        <v>5.4619944</v>
      </c>
      <c r="I752">
        <v>52.174778099999997</v>
      </c>
      <c r="J752" t="s">
        <v>451</v>
      </c>
      <c r="K752" t="s">
        <v>370</v>
      </c>
      <c r="L752" t="s">
        <v>105</v>
      </c>
      <c r="M752" t="s">
        <v>6</v>
      </c>
    </row>
    <row r="753" spans="1:13" x14ac:dyDescent="0.25">
      <c r="A753" s="3" t="s">
        <v>107</v>
      </c>
      <c r="B753" s="4">
        <v>4</v>
      </c>
      <c r="C753" s="4"/>
      <c r="D753" s="4" t="s">
        <v>105</v>
      </c>
      <c r="E753" s="4" t="s">
        <v>6</v>
      </c>
      <c r="F753">
        <f>COUNTIFS($D$2:D753,D753)</f>
        <v>38</v>
      </c>
      <c r="G753" t="str">
        <f t="shared" si="11"/>
        <v>3871E</v>
      </c>
      <c r="H753">
        <v>5.4620088999999998</v>
      </c>
      <c r="I753">
        <v>52.1747242</v>
      </c>
      <c r="J753" t="s">
        <v>451</v>
      </c>
      <c r="K753" t="s">
        <v>260</v>
      </c>
      <c r="L753" t="s">
        <v>105</v>
      </c>
      <c r="M753" t="s">
        <v>6</v>
      </c>
    </row>
    <row r="754" spans="1:13" x14ac:dyDescent="0.25">
      <c r="A754" s="3" t="s">
        <v>107</v>
      </c>
      <c r="B754" s="4">
        <v>6</v>
      </c>
      <c r="C754" s="4"/>
      <c r="D754" s="4" t="s">
        <v>105</v>
      </c>
      <c r="E754" s="4" t="s">
        <v>6</v>
      </c>
      <c r="F754">
        <f>COUNTIFS($D$2:D754,D754)</f>
        <v>39</v>
      </c>
      <c r="G754" t="str">
        <f t="shared" si="11"/>
        <v>3871E</v>
      </c>
      <c r="H754">
        <v>5.4620088000000004</v>
      </c>
      <c r="I754">
        <v>52.174670200000001</v>
      </c>
      <c r="J754" t="s">
        <v>451</v>
      </c>
      <c r="K754" t="s">
        <v>262</v>
      </c>
      <c r="L754" t="s">
        <v>105</v>
      </c>
      <c r="M754" t="s">
        <v>6</v>
      </c>
    </row>
    <row r="755" spans="1:13" x14ac:dyDescent="0.25">
      <c r="A755" s="3" t="s">
        <v>107</v>
      </c>
      <c r="B755" s="4">
        <v>8</v>
      </c>
      <c r="C755" s="4"/>
      <c r="D755" s="4" t="s">
        <v>105</v>
      </c>
      <c r="E755" s="4" t="s">
        <v>6</v>
      </c>
      <c r="F755">
        <f>COUNTIFS($D$2:D755,D755)</f>
        <v>40</v>
      </c>
      <c r="G755" t="str">
        <f t="shared" si="11"/>
        <v>3871E</v>
      </c>
      <c r="H755">
        <v>5.4620233999999996</v>
      </c>
      <c r="I755">
        <v>52.174616299999997</v>
      </c>
      <c r="J755" t="s">
        <v>451</v>
      </c>
      <c r="K755" t="s">
        <v>263</v>
      </c>
      <c r="L755" t="s">
        <v>105</v>
      </c>
      <c r="M755" t="s">
        <v>6</v>
      </c>
    </row>
    <row r="756" spans="1:13" x14ac:dyDescent="0.25">
      <c r="A756" s="3" t="s">
        <v>107</v>
      </c>
      <c r="B756" s="4">
        <v>10</v>
      </c>
      <c r="C756" s="4"/>
      <c r="D756" s="4" t="s">
        <v>105</v>
      </c>
      <c r="E756" s="4" t="s">
        <v>6</v>
      </c>
      <c r="F756">
        <f>COUNTIFS($D$2:D756,D756)</f>
        <v>41</v>
      </c>
      <c r="G756" t="str">
        <f t="shared" si="11"/>
        <v>3871E</v>
      </c>
      <c r="H756">
        <v>5.4620233000000002</v>
      </c>
      <c r="I756">
        <v>52.174553400000001</v>
      </c>
      <c r="J756" t="s">
        <v>451</v>
      </c>
      <c r="K756" t="s">
        <v>264</v>
      </c>
      <c r="L756" t="s">
        <v>105</v>
      </c>
      <c r="M756" t="s">
        <v>6</v>
      </c>
    </row>
    <row r="757" spans="1:13" x14ac:dyDescent="0.25">
      <c r="A757" s="3" t="s">
        <v>107</v>
      </c>
      <c r="B757" s="4">
        <v>12</v>
      </c>
      <c r="C757" s="4"/>
      <c r="D757" s="4" t="s">
        <v>105</v>
      </c>
      <c r="E757" s="4" t="s">
        <v>6</v>
      </c>
      <c r="F757">
        <f>COUNTIFS($D$2:D757,D757)</f>
        <v>42</v>
      </c>
      <c r="G757" t="str">
        <f t="shared" si="11"/>
        <v>3871E</v>
      </c>
      <c r="H757">
        <v>5.4620378000000001</v>
      </c>
      <c r="I757">
        <v>52.174499400000002</v>
      </c>
      <c r="J757" t="s">
        <v>451</v>
      </c>
      <c r="K757" t="s">
        <v>265</v>
      </c>
      <c r="L757" t="s">
        <v>105</v>
      </c>
      <c r="M757" t="s">
        <v>6</v>
      </c>
    </row>
    <row r="758" spans="1:13" x14ac:dyDescent="0.25">
      <c r="A758" s="3" t="s">
        <v>107</v>
      </c>
      <c r="B758" s="4">
        <v>14</v>
      </c>
      <c r="C758" s="4" t="s">
        <v>8</v>
      </c>
      <c r="D758" s="4" t="s">
        <v>105</v>
      </c>
      <c r="E758" s="4" t="s">
        <v>6</v>
      </c>
      <c r="F758">
        <f>COUNTIFS($D$2:D758,D758)</f>
        <v>43</v>
      </c>
      <c r="G758" t="str">
        <f t="shared" si="11"/>
        <v>3871E</v>
      </c>
      <c r="H758">
        <v>5.4621529999999998</v>
      </c>
      <c r="I758">
        <v>52.173447799999998</v>
      </c>
      <c r="J758" t="s">
        <v>451</v>
      </c>
      <c r="K758" t="s">
        <v>452</v>
      </c>
      <c r="L758" t="s">
        <v>105</v>
      </c>
      <c r="M758" t="s">
        <v>6</v>
      </c>
    </row>
    <row r="759" spans="1:13" x14ac:dyDescent="0.25">
      <c r="A759" s="3" t="s">
        <v>107</v>
      </c>
      <c r="B759" s="4">
        <v>16</v>
      </c>
      <c r="C759" s="4" t="s">
        <v>8</v>
      </c>
      <c r="D759" s="4" t="s">
        <v>105</v>
      </c>
      <c r="E759" s="4" t="s">
        <v>6</v>
      </c>
      <c r="F759">
        <f>COUNTIFS($D$2:D759,D759)</f>
        <v>44</v>
      </c>
      <c r="G759" t="str">
        <f t="shared" si="11"/>
        <v>3871E</v>
      </c>
      <c r="H759">
        <v>5.4621674000000002</v>
      </c>
      <c r="I759">
        <v>52.173348900000001</v>
      </c>
      <c r="J759" t="s">
        <v>451</v>
      </c>
      <c r="K759" t="s">
        <v>453</v>
      </c>
      <c r="L759" t="s">
        <v>105</v>
      </c>
      <c r="M759" t="s">
        <v>6</v>
      </c>
    </row>
    <row r="760" spans="1:13" x14ac:dyDescent="0.25">
      <c r="A760" s="3" t="s">
        <v>107</v>
      </c>
      <c r="B760" s="4">
        <v>20</v>
      </c>
      <c r="C760" s="4"/>
      <c r="D760" s="4" t="s">
        <v>105</v>
      </c>
      <c r="E760" s="4" t="s">
        <v>6</v>
      </c>
      <c r="F760">
        <f>COUNTIFS($D$2:D760,D760)</f>
        <v>45</v>
      </c>
      <c r="G760" t="str">
        <f t="shared" si="11"/>
        <v>3871E</v>
      </c>
      <c r="H760">
        <v>5.4621817000000004</v>
      </c>
      <c r="I760">
        <v>52.173169100000003</v>
      </c>
      <c r="J760" t="s">
        <v>451</v>
      </c>
      <c r="K760" t="s">
        <v>372</v>
      </c>
      <c r="L760" t="s">
        <v>105</v>
      </c>
      <c r="M760" t="s">
        <v>6</v>
      </c>
    </row>
    <row r="761" spans="1:13" x14ac:dyDescent="0.25">
      <c r="A761" s="3" t="s">
        <v>107</v>
      </c>
      <c r="B761" s="4">
        <v>26</v>
      </c>
      <c r="C761" s="4"/>
      <c r="D761" s="4" t="s">
        <v>105</v>
      </c>
      <c r="E761" s="4" t="s">
        <v>6</v>
      </c>
      <c r="F761">
        <f>COUNTIFS($D$2:D761,D761)</f>
        <v>46</v>
      </c>
      <c r="G761" t="str">
        <f t="shared" si="11"/>
        <v>3871E</v>
      </c>
      <c r="H761">
        <v>5.4621960999999999</v>
      </c>
      <c r="I761">
        <v>52.173007300000002</v>
      </c>
      <c r="J761" t="s">
        <v>451</v>
      </c>
      <c r="K761" t="s">
        <v>271</v>
      </c>
      <c r="L761" t="s">
        <v>105</v>
      </c>
      <c r="M761" t="s">
        <v>6</v>
      </c>
    </row>
    <row r="762" spans="1:13" x14ac:dyDescent="0.25">
      <c r="A762" s="3" t="s">
        <v>107</v>
      </c>
      <c r="B762" s="4">
        <v>28</v>
      </c>
      <c r="C762" s="4"/>
      <c r="D762" s="4" t="s">
        <v>105</v>
      </c>
      <c r="E762" s="4" t="s">
        <v>6</v>
      </c>
      <c r="F762">
        <f>COUNTIFS($D$2:D762,D762)</f>
        <v>47</v>
      </c>
      <c r="G762" t="str">
        <f t="shared" si="11"/>
        <v>3871E</v>
      </c>
      <c r="H762">
        <v>5.4622105999999997</v>
      </c>
      <c r="I762">
        <v>52.172962400000003</v>
      </c>
      <c r="J762" t="s">
        <v>451</v>
      </c>
      <c r="K762" t="s">
        <v>272</v>
      </c>
      <c r="L762" t="s">
        <v>105</v>
      </c>
      <c r="M762" t="s">
        <v>6</v>
      </c>
    </row>
    <row r="763" spans="1:13" x14ac:dyDescent="0.25">
      <c r="A763" s="3" t="s">
        <v>107</v>
      </c>
      <c r="B763" s="4">
        <v>30</v>
      </c>
      <c r="C763" s="4"/>
      <c r="D763" s="4" t="s">
        <v>105</v>
      </c>
      <c r="E763" s="4" t="s">
        <v>6</v>
      </c>
      <c r="F763">
        <f>COUNTIFS($D$2:D763,D763)</f>
        <v>48</v>
      </c>
      <c r="G763" t="str">
        <f t="shared" si="11"/>
        <v>3871E</v>
      </c>
      <c r="H763">
        <v>5.4622248999999998</v>
      </c>
      <c r="I763">
        <v>52.172746699999998</v>
      </c>
      <c r="J763" t="s">
        <v>451</v>
      </c>
      <c r="K763" t="s">
        <v>373</v>
      </c>
      <c r="L763" t="s">
        <v>105</v>
      </c>
      <c r="M763" t="s">
        <v>6</v>
      </c>
    </row>
    <row r="764" spans="1:13" x14ac:dyDescent="0.25">
      <c r="A764" s="3" t="s">
        <v>107</v>
      </c>
      <c r="B764" s="4">
        <v>32</v>
      </c>
      <c r="C764" s="4"/>
      <c r="D764" s="4" t="s">
        <v>105</v>
      </c>
      <c r="E764" s="4" t="s">
        <v>6</v>
      </c>
      <c r="F764">
        <f>COUNTIFS($D$2:D764,D764)</f>
        <v>49</v>
      </c>
      <c r="G764" t="str">
        <f t="shared" si="11"/>
        <v>3871E</v>
      </c>
      <c r="H764">
        <v>5.4622102000000003</v>
      </c>
      <c r="I764">
        <v>52.172701799999999</v>
      </c>
      <c r="J764" t="s">
        <v>451</v>
      </c>
      <c r="K764" t="s">
        <v>273</v>
      </c>
      <c r="L764" t="s">
        <v>105</v>
      </c>
      <c r="M764" t="s">
        <v>6</v>
      </c>
    </row>
    <row r="765" spans="1:13" x14ac:dyDescent="0.25">
      <c r="A765" s="3" t="s">
        <v>108</v>
      </c>
      <c r="B765" s="4">
        <v>38</v>
      </c>
      <c r="C765" s="4"/>
      <c r="D765" s="4" t="s">
        <v>105</v>
      </c>
      <c r="E765" s="4" t="s">
        <v>6</v>
      </c>
      <c r="F765">
        <f>COUNTIFS($D$2:D765,D765)</f>
        <v>50</v>
      </c>
      <c r="G765" t="str">
        <f t="shared" si="11"/>
        <v>3871E</v>
      </c>
      <c r="H765">
        <v>5.4622387000000003</v>
      </c>
      <c r="I765">
        <v>52.1722793</v>
      </c>
      <c r="J765" t="s">
        <v>454</v>
      </c>
      <c r="K765" t="s">
        <v>374</v>
      </c>
      <c r="L765" t="s">
        <v>105</v>
      </c>
      <c r="M765" t="s">
        <v>6</v>
      </c>
    </row>
    <row r="766" spans="1:13" x14ac:dyDescent="0.25">
      <c r="A766" s="3" t="s">
        <v>108</v>
      </c>
      <c r="B766" s="4">
        <v>52</v>
      </c>
      <c r="C766" s="4"/>
      <c r="D766" s="4" t="s">
        <v>105</v>
      </c>
      <c r="E766" s="4" t="s">
        <v>6</v>
      </c>
      <c r="F766">
        <f>COUNTIFS($D$2:D766,D766)</f>
        <v>51</v>
      </c>
      <c r="G766" t="str">
        <f t="shared" si="11"/>
        <v>3871E</v>
      </c>
      <c r="H766">
        <v>5.4619895999999999</v>
      </c>
      <c r="I766">
        <v>52.171902000000003</v>
      </c>
      <c r="J766" t="s">
        <v>454</v>
      </c>
      <c r="K766" t="s">
        <v>281</v>
      </c>
      <c r="L766" t="s">
        <v>105</v>
      </c>
      <c r="M766" t="s">
        <v>6</v>
      </c>
    </row>
    <row r="767" spans="1:13" x14ac:dyDescent="0.25">
      <c r="A767" s="3" t="s">
        <v>108</v>
      </c>
      <c r="B767" s="4">
        <v>72</v>
      </c>
      <c r="C767" s="4"/>
      <c r="D767" s="4" t="s">
        <v>105</v>
      </c>
      <c r="E767" s="4" t="s">
        <v>6</v>
      </c>
      <c r="F767">
        <f>COUNTIFS($D$2:D767,D767)</f>
        <v>52</v>
      </c>
      <c r="G767" t="str">
        <f t="shared" si="11"/>
        <v>3871E</v>
      </c>
      <c r="H767">
        <v>5.4597967000000001</v>
      </c>
      <c r="I767">
        <v>52.171822400000003</v>
      </c>
      <c r="J767" t="s">
        <v>454</v>
      </c>
      <c r="K767" t="s">
        <v>291</v>
      </c>
      <c r="L767" t="s">
        <v>105</v>
      </c>
      <c r="M767" t="s">
        <v>6</v>
      </c>
    </row>
    <row r="768" spans="1:13" x14ac:dyDescent="0.25">
      <c r="A768" s="3" t="s">
        <v>108</v>
      </c>
      <c r="B768" s="4">
        <v>74</v>
      </c>
      <c r="C768" s="4"/>
      <c r="D768" s="4" t="s">
        <v>105</v>
      </c>
      <c r="E768" s="4" t="s">
        <v>6</v>
      </c>
      <c r="F768">
        <f>COUNTIFS($D$2:D768,D768)</f>
        <v>53</v>
      </c>
      <c r="G768" t="str">
        <f t="shared" si="11"/>
        <v>3871E</v>
      </c>
      <c r="H768">
        <v>5.4589680999999999</v>
      </c>
      <c r="I768">
        <v>52.171782700000001</v>
      </c>
      <c r="J768" t="s">
        <v>454</v>
      </c>
      <c r="K768" t="s">
        <v>292</v>
      </c>
      <c r="L768" t="s">
        <v>105</v>
      </c>
      <c r="M768" t="s">
        <v>6</v>
      </c>
    </row>
    <row r="769" spans="1:13" x14ac:dyDescent="0.25">
      <c r="A769" s="3" t="s">
        <v>108</v>
      </c>
      <c r="B769" s="4">
        <v>76</v>
      </c>
      <c r="C769" s="4"/>
      <c r="D769" s="4" t="s">
        <v>105</v>
      </c>
      <c r="E769" s="4" t="s">
        <v>6</v>
      </c>
      <c r="F769">
        <f>COUNTIFS($D$2:D769,D769)</f>
        <v>54</v>
      </c>
      <c r="G769" t="str">
        <f t="shared" si="11"/>
        <v>3871E</v>
      </c>
      <c r="H769">
        <v>5.4583347</v>
      </c>
      <c r="I769">
        <v>52.171759299999998</v>
      </c>
      <c r="J769" t="s">
        <v>454</v>
      </c>
      <c r="K769" t="s">
        <v>293</v>
      </c>
      <c r="L769" t="s">
        <v>105</v>
      </c>
      <c r="M769" t="s">
        <v>6</v>
      </c>
    </row>
    <row r="770" spans="1:13" x14ac:dyDescent="0.25">
      <c r="A770" s="3" t="s">
        <v>109</v>
      </c>
      <c r="B770" s="4">
        <v>1</v>
      </c>
      <c r="C770" s="4"/>
      <c r="D770" s="4" t="s">
        <v>110</v>
      </c>
      <c r="E770" s="4" t="s">
        <v>6</v>
      </c>
      <c r="F770">
        <f>COUNTIFS($D$2:D770,D770)</f>
        <v>1</v>
      </c>
      <c r="G770" t="str">
        <f t="shared" ref="G770:G833" si="12">LEFT(A770,5)</f>
        <v>3871E</v>
      </c>
      <c r="H770">
        <v>5.4608492999999996</v>
      </c>
      <c r="I770">
        <v>52.171830800000002</v>
      </c>
      <c r="J770" t="s">
        <v>455</v>
      </c>
      <c r="K770" t="s">
        <v>355</v>
      </c>
      <c r="L770" t="s">
        <v>110</v>
      </c>
      <c r="M770" t="s">
        <v>6</v>
      </c>
    </row>
    <row r="771" spans="1:13" x14ac:dyDescent="0.25">
      <c r="A771" s="3" t="s">
        <v>109</v>
      </c>
      <c r="B771" s="4">
        <v>8</v>
      </c>
      <c r="C771" s="4"/>
      <c r="D771" s="4" t="s">
        <v>110</v>
      </c>
      <c r="E771" s="4" t="s">
        <v>6</v>
      </c>
      <c r="F771">
        <f>COUNTIFS($D$2:D771,D771)</f>
        <v>2</v>
      </c>
      <c r="G771" t="str">
        <f t="shared" si="12"/>
        <v>3871E</v>
      </c>
      <c r="H771">
        <v>5.4608059999999998</v>
      </c>
      <c r="I771">
        <v>52.172199300000003</v>
      </c>
      <c r="J771" t="s">
        <v>455</v>
      </c>
      <c r="K771" t="s">
        <v>263</v>
      </c>
      <c r="L771" t="s">
        <v>110</v>
      </c>
      <c r="M771" t="s">
        <v>6</v>
      </c>
    </row>
    <row r="772" spans="1:13" x14ac:dyDescent="0.25">
      <c r="A772" s="3" t="s">
        <v>111</v>
      </c>
      <c r="B772" s="4">
        <v>8</v>
      </c>
      <c r="C772" s="4"/>
      <c r="D772" s="4" t="s">
        <v>112</v>
      </c>
      <c r="E772" s="4" t="s">
        <v>6</v>
      </c>
      <c r="F772">
        <f>COUNTIFS($D$2:D772,D772)</f>
        <v>1</v>
      </c>
      <c r="G772" t="str">
        <f t="shared" si="12"/>
        <v>3871E</v>
      </c>
      <c r="H772">
        <v>5.4612737999999998</v>
      </c>
      <c r="I772">
        <v>52.172217000000003</v>
      </c>
      <c r="J772" t="s">
        <v>456</v>
      </c>
      <c r="K772" t="s">
        <v>263</v>
      </c>
      <c r="L772" t="s">
        <v>112</v>
      </c>
      <c r="M772" t="s">
        <v>6</v>
      </c>
    </row>
    <row r="773" spans="1:13" x14ac:dyDescent="0.25">
      <c r="A773" s="3" t="s">
        <v>113</v>
      </c>
      <c r="B773" s="4">
        <v>1</v>
      </c>
      <c r="C773" s="4"/>
      <c r="D773" s="4" t="s">
        <v>114</v>
      </c>
      <c r="E773" s="4" t="s">
        <v>6</v>
      </c>
      <c r="F773">
        <f>COUNTIFS($D$2:D773,D773)</f>
        <v>1</v>
      </c>
      <c r="G773" t="str">
        <f t="shared" si="12"/>
        <v>3871E</v>
      </c>
      <c r="H773">
        <v>5.4605741999999999</v>
      </c>
      <c r="I773">
        <v>52.173439799999997</v>
      </c>
      <c r="J773" t="s">
        <v>457</v>
      </c>
      <c r="K773" t="s">
        <v>355</v>
      </c>
      <c r="L773" t="s">
        <v>114</v>
      </c>
      <c r="M773" t="s">
        <v>6</v>
      </c>
    </row>
    <row r="774" spans="1:13" x14ac:dyDescent="0.25">
      <c r="A774" s="3" t="s">
        <v>113</v>
      </c>
      <c r="B774" s="4">
        <v>2</v>
      </c>
      <c r="C774" s="4"/>
      <c r="D774" s="4" t="s">
        <v>114</v>
      </c>
      <c r="E774" s="4" t="s">
        <v>6</v>
      </c>
      <c r="F774">
        <f>COUNTIFS($D$2:D774,D774)</f>
        <v>2</v>
      </c>
      <c r="G774" t="str">
        <f t="shared" si="12"/>
        <v>3871E</v>
      </c>
      <c r="H774">
        <v>5.4600479000000002</v>
      </c>
      <c r="I774">
        <v>52.173431100000002</v>
      </c>
      <c r="J774" t="s">
        <v>457</v>
      </c>
      <c r="K774" t="s">
        <v>370</v>
      </c>
      <c r="L774" t="s">
        <v>114</v>
      </c>
      <c r="M774" t="s">
        <v>6</v>
      </c>
    </row>
    <row r="775" spans="1:13" x14ac:dyDescent="0.25">
      <c r="A775" s="3" t="s">
        <v>113</v>
      </c>
      <c r="B775" s="4">
        <v>10</v>
      </c>
      <c r="C775" s="4"/>
      <c r="D775" s="4" t="s">
        <v>114</v>
      </c>
      <c r="E775" s="4" t="s">
        <v>6</v>
      </c>
      <c r="F775">
        <f>COUNTIFS($D$2:D775,D775)</f>
        <v>3</v>
      </c>
      <c r="G775" t="str">
        <f t="shared" si="12"/>
        <v>3871E</v>
      </c>
      <c r="H775">
        <v>5.4600765999999998</v>
      </c>
      <c r="I775">
        <v>52.173098600000003</v>
      </c>
      <c r="J775" t="s">
        <v>457</v>
      </c>
      <c r="K775" t="s">
        <v>264</v>
      </c>
      <c r="L775" t="s">
        <v>114</v>
      </c>
      <c r="M775" t="s">
        <v>6</v>
      </c>
    </row>
    <row r="776" spans="1:13" x14ac:dyDescent="0.25">
      <c r="A776" s="3" t="s">
        <v>113</v>
      </c>
      <c r="B776" s="4">
        <v>12</v>
      </c>
      <c r="C776" s="4"/>
      <c r="D776" s="4" t="s">
        <v>114</v>
      </c>
      <c r="E776" s="4" t="s">
        <v>6</v>
      </c>
      <c r="F776">
        <f>COUNTIFS($D$2:D776,D776)</f>
        <v>4</v>
      </c>
      <c r="G776" t="str">
        <f t="shared" si="12"/>
        <v>3871E</v>
      </c>
      <c r="H776">
        <v>5.4600765000000004</v>
      </c>
      <c r="I776">
        <v>52.173026700000001</v>
      </c>
      <c r="J776" t="s">
        <v>457</v>
      </c>
      <c r="K776" t="s">
        <v>265</v>
      </c>
      <c r="L776" t="s">
        <v>114</v>
      </c>
      <c r="M776" t="s">
        <v>6</v>
      </c>
    </row>
    <row r="777" spans="1:13" x14ac:dyDescent="0.25">
      <c r="A777" s="3" t="s">
        <v>113</v>
      </c>
      <c r="B777" s="4">
        <v>14</v>
      </c>
      <c r="C777" s="4"/>
      <c r="D777" s="4" t="s">
        <v>114</v>
      </c>
      <c r="E777" s="4" t="s">
        <v>6</v>
      </c>
      <c r="F777">
        <f>COUNTIFS($D$2:D777,D777)</f>
        <v>5</v>
      </c>
      <c r="G777" t="str">
        <f t="shared" si="12"/>
        <v>3871E</v>
      </c>
      <c r="H777">
        <v>5.4600616999999998</v>
      </c>
      <c r="I777">
        <v>52.172936800000002</v>
      </c>
      <c r="J777" t="s">
        <v>457</v>
      </c>
      <c r="K777" t="s">
        <v>266</v>
      </c>
      <c r="L777" t="s">
        <v>114</v>
      </c>
      <c r="M777" t="s">
        <v>6</v>
      </c>
    </row>
    <row r="778" spans="1:13" x14ac:dyDescent="0.25">
      <c r="A778" s="3" t="s">
        <v>113</v>
      </c>
      <c r="B778" s="4">
        <v>16</v>
      </c>
      <c r="C778" s="4"/>
      <c r="D778" s="4" t="s">
        <v>114</v>
      </c>
      <c r="E778" s="4" t="s">
        <v>6</v>
      </c>
      <c r="F778">
        <f>COUNTIFS($D$2:D778,D778)</f>
        <v>6</v>
      </c>
      <c r="G778" t="str">
        <f t="shared" si="12"/>
        <v>3871E</v>
      </c>
      <c r="H778">
        <v>5.4600616000000004</v>
      </c>
      <c r="I778">
        <v>52.1728649</v>
      </c>
      <c r="J778" t="s">
        <v>457</v>
      </c>
      <c r="K778" t="s">
        <v>371</v>
      </c>
      <c r="L778" t="s">
        <v>114</v>
      </c>
      <c r="M778" t="s">
        <v>6</v>
      </c>
    </row>
    <row r="779" spans="1:13" x14ac:dyDescent="0.25">
      <c r="A779" s="3" t="s">
        <v>115</v>
      </c>
      <c r="B779" s="4">
        <v>1</v>
      </c>
      <c r="C779" s="4"/>
      <c r="D779" s="4" t="s">
        <v>116</v>
      </c>
      <c r="E779" s="4" t="s">
        <v>6</v>
      </c>
      <c r="F779">
        <f>COUNTIFS($D$2:D779,D779)</f>
        <v>1</v>
      </c>
      <c r="G779" t="str">
        <f t="shared" si="12"/>
        <v>3871E</v>
      </c>
      <c r="H779">
        <v>5.4604271000000004</v>
      </c>
      <c r="I779">
        <v>52.1728916</v>
      </c>
      <c r="J779" t="s">
        <v>458</v>
      </c>
      <c r="K779" t="s">
        <v>355</v>
      </c>
      <c r="L779" t="s">
        <v>116</v>
      </c>
      <c r="M779" t="s">
        <v>6</v>
      </c>
    </row>
    <row r="780" spans="1:13" x14ac:dyDescent="0.25">
      <c r="A780" s="3" t="s">
        <v>115</v>
      </c>
      <c r="B780" s="4">
        <v>3</v>
      </c>
      <c r="C780" s="4"/>
      <c r="D780" s="4" t="s">
        <v>116</v>
      </c>
      <c r="E780" s="4" t="s">
        <v>6</v>
      </c>
      <c r="F780">
        <f>COUNTIFS($D$2:D780,D780)</f>
        <v>2</v>
      </c>
      <c r="G780" t="str">
        <f t="shared" si="12"/>
        <v>3871E</v>
      </c>
      <c r="H780">
        <v>5.4605148000000003</v>
      </c>
      <c r="I780">
        <v>52.172900599999998</v>
      </c>
      <c r="J780" t="s">
        <v>458</v>
      </c>
      <c r="K780" t="s">
        <v>356</v>
      </c>
      <c r="L780" t="s">
        <v>116</v>
      </c>
      <c r="M780" t="s">
        <v>6</v>
      </c>
    </row>
    <row r="781" spans="1:13" x14ac:dyDescent="0.25">
      <c r="A781" s="3" t="s">
        <v>115</v>
      </c>
      <c r="B781" s="4">
        <v>5</v>
      </c>
      <c r="C781" s="4"/>
      <c r="D781" s="4" t="s">
        <v>116</v>
      </c>
      <c r="E781" s="4" t="s">
        <v>6</v>
      </c>
      <c r="F781">
        <f>COUNTIFS($D$2:D781,D781)</f>
        <v>3</v>
      </c>
      <c r="G781" t="str">
        <f t="shared" si="12"/>
        <v>3871E</v>
      </c>
      <c r="H781">
        <v>5.4606756000000001</v>
      </c>
      <c r="I781">
        <v>52.172891499999999</v>
      </c>
      <c r="J781" t="s">
        <v>458</v>
      </c>
      <c r="K781" t="s">
        <v>357</v>
      </c>
      <c r="L781" t="s">
        <v>116</v>
      </c>
      <c r="M781" t="s">
        <v>6</v>
      </c>
    </row>
    <row r="782" spans="1:13" x14ac:dyDescent="0.25">
      <c r="A782" s="3" t="s">
        <v>115</v>
      </c>
      <c r="B782" s="4">
        <v>7</v>
      </c>
      <c r="C782" s="4"/>
      <c r="D782" s="4" t="s">
        <v>116</v>
      </c>
      <c r="E782" s="4" t="s">
        <v>6</v>
      </c>
      <c r="F782">
        <f>COUNTIFS($D$2:D782,D782)</f>
        <v>4</v>
      </c>
      <c r="G782" t="str">
        <f t="shared" si="12"/>
        <v>3871E</v>
      </c>
      <c r="H782">
        <v>5.4607925000000002</v>
      </c>
      <c r="I782">
        <v>52.172891399999997</v>
      </c>
      <c r="J782" t="s">
        <v>458</v>
      </c>
      <c r="K782" t="s">
        <v>358</v>
      </c>
      <c r="L782" t="s">
        <v>116</v>
      </c>
      <c r="M782" t="s">
        <v>6</v>
      </c>
    </row>
    <row r="783" spans="1:13" x14ac:dyDescent="0.25">
      <c r="A783" s="3" t="s">
        <v>115</v>
      </c>
      <c r="B783" s="4">
        <v>9</v>
      </c>
      <c r="C783" s="4"/>
      <c r="D783" s="4" t="s">
        <v>116</v>
      </c>
      <c r="E783" s="4" t="s">
        <v>6</v>
      </c>
      <c r="F783">
        <f>COUNTIFS($D$2:D783,D783)</f>
        <v>5</v>
      </c>
      <c r="G783" t="str">
        <f t="shared" si="12"/>
        <v>3871E</v>
      </c>
      <c r="H783">
        <v>5.4614649999999996</v>
      </c>
      <c r="I783">
        <v>52.1729269</v>
      </c>
      <c r="J783" t="s">
        <v>458</v>
      </c>
      <c r="K783" t="s">
        <v>382</v>
      </c>
      <c r="L783" t="s">
        <v>116</v>
      </c>
      <c r="M783" t="s">
        <v>6</v>
      </c>
    </row>
    <row r="784" spans="1:13" x14ac:dyDescent="0.25">
      <c r="A784" s="3" t="s">
        <v>115</v>
      </c>
      <c r="B784" s="4">
        <v>11</v>
      </c>
      <c r="C784" s="4"/>
      <c r="D784" s="4" t="s">
        <v>116</v>
      </c>
      <c r="E784" s="4" t="s">
        <v>6</v>
      </c>
      <c r="F784">
        <f>COUNTIFS($D$2:D784,D784)</f>
        <v>6</v>
      </c>
      <c r="G784" t="str">
        <f t="shared" si="12"/>
        <v>3871E</v>
      </c>
      <c r="H784">
        <v>5.4615479999999996</v>
      </c>
      <c r="I784">
        <v>52.172913200000004</v>
      </c>
      <c r="J784" t="s">
        <v>458</v>
      </c>
      <c r="K784" t="s">
        <v>391</v>
      </c>
      <c r="L784" t="s">
        <v>116</v>
      </c>
      <c r="M784" t="s">
        <v>6</v>
      </c>
    </row>
    <row r="785" spans="1:13" x14ac:dyDescent="0.25">
      <c r="A785" s="3" t="s">
        <v>115</v>
      </c>
      <c r="B785" s="4">
        <v>13</v>
      </c>
      <c r="C785" s="4"/>
      <c r="D785" s="4" t="s">
        <v>116</v>
      </c>
      <c r="E785" s="4" t="s">
        <v>6</v>
      </c>
      <c r="F785">
        <f>COUNTIFS($D$2:D785,D785)</f>
        <v>7</v>
      </c>
      <c r="G785" t="str">
        <f t="shared" si="12"/>
        <v>3871E</v>
      </c>
      <c r="H785">
        <v>5.4617307000000004</v>
      </c>
      <c r="I785">
        <v>52.1729463</v>
      </c>
      <c r="J785" t="s">
        <v>458</v>
      </c>
      <c r="K785" t="s">
        <v>359</v>
      </c>
      <c r="L785" t="s">
        <v>116</v>
      </c>
      <c r="M785" t="s">
        <v>6</v>
      </c>
    </row>
    <row r="786" spans="1:13" x14ac:dyDescent="0.25">
      <c r="A786" s="3" t="s">
        <v>115</v>
      </c>
      <c r="B786" s="4">
        <v>15</v>
      </c>
      <c r="C786" s="4"/>
      <c r="D786" s="4" t="s">
        <v>116</v>
      </c>
      <c r="E786" s="4" t="s">
        <v>6</v>
      </c>
      <c r="F786">
        <f>COUNTIFS($D$2:D786,D786)</f>
        <v>8</v>
      </c>
      <c r="G786" t="str">
        <f t="shared" si="12"/>
        <v>3871E</v>
      </c>
      <c r="H786">
        <v>5.4618099999999998</v>
      </c>
      <c r="I786">
        <v>52.172963099999997</v>
      </c>
      <c r="J786" t="s">
        <v>458</v>
      </c>
      <c r="K786" t="s">
        <v>383</v>
      </c>
      <c r="L786" t="s">
        <v>116</v>
      </c>
      <c r="M786" t="s">
        <v>6</v>
      </c>
    </row>
    <row r="787" spans="1:13" x14ac:dyDescent="0.25">
      <c r="A787" s="3" t="s">
        <v>115</v>
      </c>
      <c r="B787" s="4">
        <v>16</v>
      </c>
      <c r="C787" s="4"/>
      <c r="D787" s="4" t="s">
        <v>116</v>
      </c>
      <c r="E787" s="4" t="s">
        <v>6</v>
      </c>
      <c r="F787">
        <f>COUNTIFS($D$2:D787,D787)</f>
        <v>9</v>
      </c>
      <c r="G787" t="str">
        <f t="shared" si="12"/>
        <v>3871E</v>
      </c>
      <c r="H787">
        <v>5.4606605999999998</v>
      </c>
      <c r="I787">
        <v>52.172693700000004</v>
      </c>
      <c r="J787" t="s">
        <v>458</v>
      </c>
      <c r="K787" t="s">
        <v>371</v>
      </c>
      <c r="L787" t="s">
        <v>116</v>
      </c>
      <c r="M787" t="s">
        <v>6</v>
      </c>
    </row>
    <row r="788" spans="1:13" x14ac:dyDescent="0.25">
      <c r="A788" s="3" t="s">
        <v>117</v>
      </c>
      <c r="B788" s="4">
        <v>1</v>
      </c>
      <c r="C788" s="4"/>
      <c r="D788" s="4" t="s">
        <v>118</v>
      </c>
      <c r="E788" s="4" t="s">
        <v>6</v>
      </c>
      <c r="F788">
        <f>COUNTIFS($D$2:D788,D788)</f>
        <v>1</v>
      </c>
      <c r="G788" t="str">
        <f t="shared" si="12"/>
        <v>3871E</v>
      </c>
      <c r="H788">
        <v>5.4607973000000003</v>
      </c>
      <c r="I788">
        <v>52.175749500000002</v>
      </c>
      <c r="J788" t="s">
        <v>459</v>
      </c>
      <c r="K788" t="s">
        <v>355</v>
      </c>
      <c r="L788" t="s">
        <v>118</v>
      </c>
      <c r="M788" t="s">
        <v>6</v>
      </c>
    </row>
    <row r="789" spans="1:13" x14ac:dyDescent="0.25">
      <c r="A789" s="3" t="s">
        <v>117</v>
      </c>
      <c r="B789" s="4">
        <v>3</v>
      </c>
      <c r="C789" s="4"/>
      <c r="D789" s="4" t="s">
        <v>118</v>
      </c>
      <c r="E789" s="4" t="s">
        <v>6</v>
      </c>
      <c r="F789">
        <f>COUNTIFS($D$2:D789,D789)</f>
        <v>2</v>
      </c>
      <c r="G789" t="str">
        <f t="shared" si="12"/>
        <v>3871E</v>
      </c>
      <c r="H789">
        <v>5.4608850000000002</v>
      </c>
      <c r="I789">
        <v>52.175749500000002</v>
      </c>
      <c r="J789" t="s">
        <v>459</v>
      </c>
      <c r="K789" t="s">
        <v>356</v>
      </c>
      <c r="L789" t="s">
        <v>118</v>
      </c>
      <c r="M789" t="s">
        <v>6</v>
      </c>
    </row>
    <row r="790" spans="1:13" x14ac:dyDescent="0.25">
      <c r="A790" s="3" t="s">
        <v>117</v>
      </c>
      <c r="B790" s="4">
        <v>5</v>
      </c>
      <c r="C790" s="4"/>
      <c r="D790" s="4" t="s">
        <v>118</v>
      </c>
      <c r="E790" s="4" t="s">
        <v>6</v>
      </c>
      <c r="F790">
        <f>COUNTIFS($D$2:D790,D790)</f>
        <v>3</v>
      </c>
      <c r="G790" t="str">
        <f t="shared" si="12"/>
        <v>3871E</v>
      </c>
      <c r="H790">
        <v>5.4609727000000001</v>
      </c>
      <c r="I790">
        <v>52.175731499999998</v>
      </c>
      <c r="J790" t="s">
        <v>459</v>
      </c>
      <c r="K790" t="s">
        <v>357</v>
      </c>
      <c r="L790" t="s">
        <v>118</v>
      </c>
      <c r="M790" t="s">
        <v>6</v>
      </c>
    </row>
    <row r="791" spans="1:13" x14ac:dyDescent="0.25">
      <c r="A791" s="3" t="s">
        <v>117</v>
      </c>
      <c r="B791" s="4">
        <v>7</v>
      </c>
      <c r="C791" s="4"/>
      <c r="D791" s="4" t="s">
        <v>118</v>
      </c>
      <c r="E791" s="4" t="s">
        <v>6</v>
      </c>
      <c r="F791">
        <f>COUNTIFS($D$2:D791,D791)</f>
        <v>4</v>
      </c>
      <c r="G791" t="str">
        <f t="shared" si="12"/>
        <v>3871E</v>
      </c>
      <c r="H791">
        <v>5.4610456999999997</v>
      </c>
      <c r="I791">
        <v>52.175686499999998</v>
      </c>
      <c r="J791" t="s">
        <v>459</v>
      </c>
      <c r="K791" t="s">
        <v>358</v>
      </c>
      <c r="L791" t="s">
        <v>118</v>
      </c>
      <c r="M791" t="s">
        <v>6</v>
      </c>
    </row>
    <row r="792" spans="1:13" x14ac:dyDescent="0.25">
      <c r="A792" s="3" t="s">
        <v>117</v>
      </c>
      <c r="B792" s="4">
        <v>9</v>
      </c>
      <c r="C792" s="4"/>
      <c r="D792" s="4" t="s">
        <v>118</v>
      </c>
      <c r="E792" s="4" t="s">
        <v>6</v>
      </c>
      <c r="F792">
        <f>COUNTIFS($D$2:D792,D792)</f>
        <v>5</v>
      </c>
      <c r="G792" t="str">
        <f t="shared" si="12"/>
        <v>3871E</v>
      </c>
      <c r="H792">
        <v>5.4610601000000001</v>
      </c>
      <c r="I792">
        <v>52.175560599999997</v>
      </c>
      <c r="J792" t="s">
        <v>459</v>
      </c>
      <c r="K792" t="s">
        <v>382</v>
      </c>
      <c r="L792" t="s">
        <v>118</v>
      </c>
      <c r="M792" t="s">
        <v>6</v>
      </c>
    </row>
    <row r="793" spans="1:13" x14ac:dyDescent="0.25">
      <c r="A793" s="3" t="s">
        <v>117</v>
      </c>
      <c r="B793" s="4">
        <v>11</v>
      </c>
      <c r="C793" s="4"/>
      <c r="D793" s="4" t="s">
        <v>118</v>
      </c>
      <c r="E793" s="4" t="s">
        <v>6</v>
      </c>
      <c r="F793">
        <f>COUNTIFS($D$2:D793,D793)</f>
        <v>6</v>
      </c>
      <c r="G793" t="str">
        <f t="shared" si="12"/>
        <v>3871E</v>
      </c>
      <c r="H793">
        <v>5.4610307000000002</v>
      </c>
      <c r="I793">
        <v>52.175488700000002</v>
      </c>
      <c r="J793" t="s">
        <v>459</v>
      </c>
      <c r="K793" t="s">
        <v>391</v>
      </c>
      <c r="L793" t="s">
        <v>118</v>
      </c>
      <c r="M793" t="s">
        <v>6</v>
      </c>
    </row>
    <row r="794" spans="1:13" x14ac:dyDescent="0.25">
      <c r="A794" s="3" t="s">
        <v>117</v>
      </c>
      <c r="B794" s="4">
        <v>13</v>
      </c>
      <c r="C794" s="4"/>
      <c r="D794" s="4" t="s">
        <v>118</v>
      </c>
      <c r="E794" s="4" t="s">
        <v>6</v>
      </c>
      <c r="F794">
        <f>COUNTIFS($D$2:D794,D794)</f>
        <v>7</v>
      </c>
      <c r="G794" t="str">
        <f t="shared" si="12"/>
        <v>3871E</v>
      </c>
      <c r="H794">
        <v>5.4609284000000002</v>
      </c>
      <c r="I794">
        <v>52.175461800000001</v>
      </c>
      <c r="J794" t="s">
        <v>459</v>
      </c>
      <c r="K794" t="s">
        <v>359</v>
      </c>
      <c r="L794" t="s">
        <v>118</v>
      </c>
      <c r="M794" t="s">
        <v>6</v>
      </c>
    </row>
    <row r="795" spans="1:13" x14ac:dyDescent="0.25">
      <c r="A795" s="3" t="s">
        <v>117</v>
      </c>
      <c r="B795" s="4">
        <v>15</v>
      </c>
      <c r="C795" s="4"/>
      <c r="D795" s="4" t="s">
        <v>118</v>
      </c>
      <c r="E795" s="4" t="s">
        <v>6</v>
      </c>
      <c r="F795">
        <f>COUNTIFS($D$2:D795,D795)</f>
        <v>8</v>
      </c>
      <c r="G795" t="str">
        <f t="shared" si="12"/>
        <v>3871E</v>
      </c>
      <c r="H795">
        <v>5.4608406</v>
      </c>
      <c r="I795">
        <v>52.175452900000003</v>
      </c>
      <c r="J795" t="s">
        <v>459</v>
      </c>
      <c r="K795" t="s">
        <v>383</v>
      </c>
      <c r="L795" t="s">
        <v>118</v>
      </c>
      <c r="M795" t="s">
        <v>6</v>
      </c>
    </row>
    <row r="796" spans="1:13" x14ac:dyDescent="0.25">
      <c r="A796" s="3" t="s">
        <v>117</v>
      </c>
      <c r="B796" s="4">
        <v>17</v>
      </c>
      <c r="C796" s="4"/>
      <c r="D796" s="4" t="s">
        <v>118</v>
      </c>
      <c r="E796" s="4" t="s">
        <v>6</v>
      </c>
      <c r="F796">
        <f>COUNTIFS($D$2:D796,D796)</f>
        <v>9</v>
      </c>
      <c r="G796" t="str">
        <f t="shared" si="12"/>
        <v>3871E</v>
      </c>
      <c r="H796">
        <v>5.4607237</v>
      </c>
      <c r="I796">
        <v>52.175452999999997</v>
      </c>
      <c r="J796" t="s">
        <v>459</v>
      </c>
      <c r="K796" t="s">
        <v>360</v>
      </c>
      <c r="L796" t="s">
        <v>118</v>
      </c>
      <c r="M796" t="s">
        <v>6</v>
      </c>
    </row>
    <row r="797" spans="1:13" x14ac:dyDescent="0.25">
      <c r="A797" s="3" t="s">
        <v>119</v>
      </c>
      <c r="B797" s="4">
        <v>1</v>
      </c>
      <c r="C797" s="4"/>
      <c r="D797" s="4" t="s">
        <v>120</v>
      </c>
      <c r="E797" s="4" t="s">
        <v>6</v>
      </c>
      <c r="F797">
        <f>COUNTIFS($D$2:D797,D797)</f>
        <v>1</v>
      </c>
      <c r="G797" t="str">
        <f t="shared" si="12"/>
        <v>3871E</v>
      </c>
      <c r="H797">
        <v>5.4617100000000001</v>
      </c>
      <c r="I797">
        <v>52.175539700000002</v>
      </c>
      <c r="J797" t="s">
        <v>460</v>
      </c>
      <c r="K797" t="s">
        <v>355</v>
      </c>
      <c r="L797" t="s">
        <v>120</v>
      </c>
      <c r="M797" t="s">
        <v>6</v>
      </c>
    </row>
    <row r="798" spans="1:13" x14ac:dyDescent="0.25">
      <c r="A798" s="3" t="s">
        <v>119</v>
      </c>
      <c r="B798" s="4">
        <v>2</v>
      </c>
      <c r="C798" s="4"/>
      <c r="D798" s="4" t="s">
        <v>120</v>
      </c>
      <c r="E798" s="4" t="s">
        <v>6</v>
      </c>
      <c r="F798">
        <f>COUNTIFS($D$2:D798,D798)</f>
        <v>2</v>
      </c>
      <c r="G798" t="str">
        <f t="shared" si="12"/>
        <v>3871E</v>
      </c>
      <c r="H798">
        <v>5.4613917000000001</v>
      </c>
      <c r="I798">
        <v>52.175633300000001</v>
      </c>
      <c r="J798" t="s">
        <v>460</v>
      </c>
      <c r="K798" t="s">
        <v>370</v>
      </c>
      <c r="L798" t="s">
        <v>120</v>
      </c>
      <c r="M798" t="s">
        <v>6</v>
      </c>
    </row>
    <row r="799" spans="1:13" x14ac:dyDescent="0.25">
      <c r="A799" s="3" t="s">
        <v>119</v>
      </c>
      <c r="B799" s="4">
        <v>4</v>
      </c>
      <c r="C799" s="4"/>
      <c r="D799" s="4" t="s">
        <v>120</v>
      </c>
      <c r="E799" s="4" t="s">
        <v>6</v>
      </c>
      <c r="F799">
        <f>COUNTIFS($D$2:D799,D799)</f>
        <v>3</v>
      </c>
      <c r="G799" t="str">
        <f t="shared" si="12"/>
        <v>3871E</v>
      </c>
      <c r="H799">
        <v>5.4614189</v>
      </c>
      <c r="I799">
        <v>52.175489599999999</v>
      </c>
      <c r="J799" t="s">
        <v>460</v>
      </c>
      <c r="K799" t="s">
        <v>260</v>
      </c>
      <c r="L799" t="s">
        <v>120</v>
      </c>
      <c r="M799" t="s">
        <v>6</v>
      </c>
    </row>
    <row r="800" spans="1:13" x14ac:dyDescent="0.25">
      <c r="A800" s="3" t="s">
        <v>119</v>
      </c>
      <c r="B800" s="4">
        <v>6</v>
      </c>
      <c r="C800" s="4"/>
      <c r="D800" s="4" t="s">
        <v>120</v>
      </c>
      <c r="E800" s="4" t="s">
        <v>6</v>
      </c>
      <c r="F800">
        <f>COUNTIFS($D$2:D800,D800)</f>
        <v>4</v>
      </c>
      <c r="G800" t="str">
        <f t="shared" si="12"/>
        <v>3871E</v>
      </c>
      <c r="H800">
        <v>5.4617097000000001</v>
      </c>
      <c r="I800">
        <v>52.1753626</v>
      </c>
      <c r="J800" t="s">
        <v>460</v>
      </c>
      <c r="K800" t="s">
        <v>262</v>
      </c>
      <c r="L800" t="s">
        <v>120</v>
      </c>
      <c r="M800" t="s">
        <v>6</v>
      </c>
    </row>
    <row r="801" spans="1:13" x14ac:dyDescent="0.25">
      <c r="A801" s="3" t="s">
        <v>119</v>
      </c>
      <c r="B801" s="4">
        <v>8</v>
      </c>
      <c r="C801" s="4"/>
      <c r="D801" s="4" t="s">
        <v>120</v>
      </c>
      <c r="E801" s="4" t="s">
        <v>6</v>
      </c>
      <c r="F801">
        <f>COUNTIFS($D$2:D801,D801)</f>
        <v>5</v>
      </c>
      <c r="G801" t="str">
        <f t="shared" si="12"/>
        <v>3871E</v>
      </c>
      <c r="H801">
        <v>5.4618082000000001</v>
      </c>
      <c r="I801">
        <v>52.175402900000002</v>
      </c>
      <c r="J801" t="s">
        <v>460</v>
      </c>
      <c r="K801" t="s">
        <v>263</v>
      </c>
      <c r="L801" t="s">
        <v>120</v>
      </c>
      <c r="M801" t="s">
        <v>6</v>
      </c>
    </row>
    <row r="802" spans="1:13" x14ac:dyDescent="0.25">
      <c r="A802" s="3" t="s">
        <v>119</v>
      </c>
      <c r="B802" s="4">
        <v>10</v>
      </c>
      <c r="C802" s="4"/>
      <c r="D802" s="4" t="s">
        <v>120</v>
      </c>
      <c r="E802" s="4" t="s">
        <v>6</v>
      </c>
      <c r="F802">
        <f>COUNTIFS($D$2:D802,D802)</f>
        <v>6</v>
      </c>
      <c r="G802" t="str">
        <f t="shared" si="12"/>
        <v>3871E</v>
      </c>
      <c r="H802">
        <v>5.4621063999999997</v>
      </c>
      <c r="I802">
        <v>52.175349300000001</v>
      </c>
      <c r="J802" t="s">
        <v>460</v>
      </c>
      <c r="K802" t="s">
        <v>264</v>
      </c>
      <c r="L802" t="s">
        <v>120</v>
      </c>
      <c r="M802" t="s">
        <v>6</v>
      </c>
    </row>
    <row r="803" spans="1:13" x14ac:dyDescent="0.25">
      <c r="A803" s="3" t="s">
        <v>121</v>
      </c>
      <c r="B803" s="4">
        <v>1</v>
      </c>
      <c r="C803" s="4"/>
      <c r="D803" s="4" t="s">
        <v>122</v>
      </c>
      <c r="E803" s="4" t="s">
        <v>6</v>
      </c>
      <c r="F803">
        <f>COUNTIFS($D$2:D803,D803)</f>
        <v>1</v>
      </c>
      <c r="G803" t="str">
        <f t="shared" si="12"/>
        <v>3871G</v>
      </c>
      <c r="H803">
        <v>5.4595219999999998</v>
      </c>
      <c r="I803">
        <v>52.173647199999998</v>
      </c>
      <c r="J803" t="s">
        <v>461</v>
      </c>
      <c r="K803" t="s">
        <v>355</v>
      </c>
      <c r="L803" t="s">
        <v>122</v>
      </c>
      <c r="M803" t="s">
        <v>6</v>
      </c>
    </row>
    <row r="804" spans="1:13" x14ac:dyDescent="0.25">
      <c r="A804" s="3" t="s">
        <v>121</v>
      </c>
      <c r="B804" s="4">
        <v>3</v>
      </c>
      <c r="C804" s="4"/>
      <c r="D804" s="4" t="s">
        <v>122</v>
      </c>
      <c r="E804" s="4" t="s">
        <v>6</v>
      </c>
      <c r="F804">
        <f>COUNTIFS($D$2:D804,D804)</f>
        <v>2</v>
      </c>
      <c r="G804" t="str">
        <f t="shared" si="12"/>
        <v>3871G</v>
      </c>
      <c r="H804">
        <v>5.4596534999999999</v>
      </c>
      <c r="I804">
        <v>52.173656100000002</v>
      </c>
      <c r="J804" t="s">
        <v>461</v>
      </c>
      <c r="K804" t="s">
        <v>356</v>
      </c>
      <c r="L804" t="s">
        <v>122</v>
      </c>
      <c r="M804" t="s">
        <v>6</v>
      </c>
    </row>
    <row r="805" spans="1:13" x14ac:dyDescent="0.25">
      <c r="A805" s="3" t="s">
        <v>121</v>
      </c>
      <c r="B805" s="4">
        <v>5</v>
      </c>
      <c r="C805" s="4"/>
      <c r="D805" s="4" t="s">
        <v>122</v>
      </c>
      <c r="E805" s="4" t="s">
        <v>6</v>
      </c>
      <c r="F805">
        <f>COUNTIFS($D$2:D805,D805)</f>
        <v>3</v>
      </c>
      <c r="G805" t="str">
        <f t="shared" si="12"/>
        <v>3871G</v>
      </c>
      <c r="H805">
        <v>5.4597996999999996</v>
      </c>
      <c r="I805">
        <v>52.173656000000001</v>
      </c>
      <c r="J805" t="s">
        <v>461</v>
      </c>
      <c r="K805" t="s">
        <v>357</v>
      </c>
      <c r="L805" t="s">
        <v>122</v>
      </c>
      <c r="M805" t="s">
        <v>6</v>
      </c>
    </row>
    <row r="806" spans="1:13" x14ac:dyDescent="0.25">
      <c r="A806" s="3" t="s">
        <v>121</v>
      </c>
      <c r="B806" s="4">
        <v>7</v>
      </c>
      <c r="C806" s="4"/>
      <c r="D806" s="4" t="s">
        <v>122</v>
      </c>
      <c r="E806" s="4" t="s">
        <v>6</v>
      </c>
      <c r="F806">
        <f>COUNTIFS($D$2:D806,D806)</f>
        <v>4</v>
      </c>
      <c r="G806" t="str">
        <f t="shared" si="12"/>
        <v>3871G</v>
      </c>
      <c r="H806">
        <v>5.4599167</v>
      </c>
      <c r="I806">
        <v>52.1736559</v>
      </c>
      <c r="J806" t="s">
        <v>461</v>
      </c>
      <c r="K806" t="s">
        <v>358</v>
      </c>
      <c r="L806" t="s">
        <v>122</v>
      </c>
      <c r="M806" t="s">
        <v>6</v>
      </c>
    </row>
    <row r="807" spans="1:13" x14ac:dyDescent="0.25">
      <c r="A807" s="3" t="s">
        <v>121</v>
      </c>
      <c r="B807" s="4">
        <v>9</v>
      </c>
      <c r="C807" s="4"/>
      <c r="D807" s="4" t="s">
        <v>122</v>
      </c>
      <c r="E807" s="4" t="s">
        <v>6</v>
      </c>
      <c r="F807">
        <f>COUNTIFS($D$2:D807,D807)</f>
        <v>5</v>
      </c>
      <c r="G807" t="str">
        <f t="shared" si="12"/>
        <v>3871G</v>
      </c>
      <c r="H807">
        <v>5.4606184000000004</v>
      </c>
      <c r="I807">
        <v>52.173691400000003</v>
      </c>
      <c r="J807" t="s">
        <v>461</v>
      </c>
      <c r="K807" t="s">
        <v>382</v>
      </c>
      <c r="L807" t="s">
        <v>122</v>
      </c>
      <c r="M807" t="s">
        <v>6</v>
      </c>
    </row>
    <row r="808" spans="1:13" x14ac:dyDescent="0.25">
      <c r="A808" s="3" t="s">
        <v>121</v>
      </c>
      <c r="B808" s="4">
        <v>11</v>
      </c>
      <c r="C808" s="4"/>
      <c r="D808" s="4" t="s">
        <v>122</v>
      </c>
      <c r="E808" s="4" t="s">
        <v>6</v>
      </c>
      <c r="F808">
        <f>COUNTIFS($D$2:D808,D808)</f>
        <v>6</v>
      </c>
      <c r="G808" t="str">
        <f t="shared" si="12"/>
        <v>3871G</v>
      </c>
      <c r="H808">
        <v>5.4607792000000002</v>
      </c>
      <c r="I808">
        <v>52.173691300000002</v>
      </c>
      <c r="J808" t="s">
        <v>461</v>
      </c>
      <c r="K808" t="s">
        <v>391</v>
      </c>
      <c r="L808" t="s">
        <v>122</v>
      </c>
      <c r="M808" t="s">
        <v>6</v>
      </c>
    </row>
    <row r="809" spans="1:13" x14ac:dyDescent="0.25">
      <c r="A809" s="3" t="s">
        <v>121</v>
      </c>
      <c r="B809" s="4">
        <v>13</v>
      </c>
      <c r="C809" s="4"/>
      <c r="D809" s="4" t="s">
        <v>122</v>
      </c>
      <c r="E809" s="4" t="s">
        <v>6</v>
      </c>
      <c r="F809">
        <f>COUNTIFS($D$2:D809,D809)</f>
        <v>7</v>
      </c>
      <c r="G809" t="str">
        <f t="shared" si="12"/>
        <v>3871G</v>
      </c>
      <c r="H809">
        <v>5.4609253999999998</v>
      </c>
      <c r="I809">
        <v>52.173700199999999</v>
      </c>
      <c r="J809" t="s">
        <v>461</v>
      </c>
      <c r="K809" t="s">
        <v>359</v>
      </c>
      <c r="L809" t="s">
        <v>122</v>
      </c>
      <c r="M809" t="s">
        <v>6</v>
      </c>
    </row>
    <row r="810" spans="1:13" x14ac:dyDescent="0.25">
      <c r="A810" s="3" t="s">
        <v>121</v>
      </c>
      <c r="B810" s="4">
        <v>15</v>
      </c>
      <c r="C810" s="4"/>
      <c r="D810" s="4" t="s">
        <v>122</v>
      </c>
      <c r="E810" s="4" t="s">
        <v>6</v>
      </c>
      <c r="F810">
        <f>COUNTIFS($D$2:D810,D810)</f>
        <v>8</v>
      </c>
      <c r="G810" t="str">
        <f t="shared" si="12"/>
        <v>3871G</v>
      </c>
      <c r="H810">
        <v>5.4616709999999999</v>
      </c>
      <c r="I810">
        <v>52.173726700000003</v>
      </c>
      <c r="J810" t="s">
        <v>461</v>
      </c>
      <c r="K810" t="s">
        <v>383</v>
      </c>
      <c r="L810" t="s">
        <v>122</v>
      </c>
      <c r="M810" t="s">
        <v>6</v>
      </c>
    </row>
    <row r="811" spans="1:13" x14ac:dyDescent="0.25">
      <c r="A811" s="3" t="s">
        <v>121</v>
      </c>
      <c r="B811" s="4">
        <v>17</v>
      </c>
      <c r="C811" s="4"/>
      <c r="D811" s="4" t="s">
        <v>122</v>
      </c>
      <c r="E811" s="4" t="s">
        <v>6</v>
      </c>
      <c r="F811">
        <f>COUNTIFS($D$2:D811,D811)</f>
        <v>9</v>
      </c>
      <c r="G811" t="str">
        <f t="shared" si="12"/>
        <v>3871G</v>
      </c>
      <c r="H811">
        <v>5.4617522000000003</v>
      </c>
      <c r="I811">
        <v>52.173714199999999</v>
      </c>
      <c r="J811" t="s">
        <v>461</v>
      </c>
      <c r="K811" t="s">
        <v>360</v>
      </c>
      <c r="L811" t="s">
        <v>122</v>
      </c>
      <c r="M811" t="s">
        <v>6</v>
      </c>
    </row>
    <row r="812" spans="1:13" x14ac:dyDescent="0.25">
      <c r="A812" s="3" t="s">
        <v>121</v>
      </c>
      <c r="B812" s="4">
        <v>19</v>
      </c>
      <c r="C812" s="4"/>
      <c r="D812" s="4" t="s">
        <v>122</v>
      </c>
      <c r="E812" s="4" t="s">
        <v>6</v>
      </c>
      <c r="F812">
        <f>COUNTIFS($D$2:D812,D812)</f>
        <v>10</v>
      </c>
      <c r="G812" t="str">
        <f t="shared" si="12"/>
        <v>3871G</v>
      </c>
      <c r="H812">
        <v>5.4619108000000001</v>
      </c>
      <c r="I812">
        <v>52.173760600000001</v>
      </c>
      <c r="J812" t="s">
        <v>461</v>
      </c>
      <c r="K812" t="s">
        <v>361</v>
      </c>
      <c r="L812" t="s">
        <v>122</v>
      </c>
      <c r="M812" t="s">
        <v>6</v>
      </c>
    </row>
    <row r="813" spans="1:13" x14ac:dyDescent="0.25">
      <c r="A813" s="3" t="s">
        <v>121</v>
      </c>
      <c r="B813" s="4">
        <v>21</v>
      </c>
      <c r="C813" s="4"/>
      <c r="D813" s="4" t="s">
        <v>122</v>
      </c>
      <c r="E813" s="4" t="s">
        <v>6</v>
      </c>
      <c r="F813">
        <f>COUNTIFS($D$2:D813,D813)</f>
        <v>11</v>
      </c>
      <c r="G813" t="str">
        <f t="shared" si="12"/>
        <v>3871G</v>
      </c>
      <c r="H813">
        <v>5.4620204000000001</v>
      </c>
      <c r="I813">
        <v>52.173746800000004</v>
      </c>
      <c r="J813" t="s">
        <v>461</v>
      </c>
      <c r="K813" t="s">
        <v>362</v>
      </c>
      <c r="L813" t="s">
        <v>122</v>
      </c>
      <c r="M813" t="s">
        <v>6</v>
      </c>
    </row>
    <row r="814" spans="1:13" x14ac:dyDescent="0.25">
      <c r="A814" s="3" t="s">
        <v>121</v>
      </c>
      <c r="B814" s="4">
        <v>37</v>
      </c>
      <c r="C814" s="4"/>
      <c r="D814" s="4" t="s">
        <v>122</v>
      </c>
      <c r="E814" s="4" t="s">
        <v>6</v>
      </c>
      <c r="F814">
        <f>COUNTIFS($D$2:D814,D814)</f>
        <v>12</v>
      </c>
      <c r="G814" t="str">
        <f t="shared" si="12"/>
        <v>3871G</v>
      </c>
      <c r="H814">
        <v>5.4635718000000004</v>
      </c>
      <c r="I814">
        <v>52.173905300000001</v>
      </c>
      <c r="J814" t="s">
        <v>461</v>
      </c>
      <c r="K814" t="s">
        <v>367</v>
      </c>
      <c r="L814" t="s">
        <v>122</v>
      </c>
      <c r="M814" t="s">
        <v>6</v>
      </c>
    </row>
    <row r="815" spans="1:13" x14ac:dyDescent="0.25">
      <c r="A815" s="3" t="s">
        <v>123</v>
      </c>
      <c r="B815" s="4">
        <v>47</v>
      </c>
      <c r="C815" s="4"/>
      <c r="D815" s="4" t="s">
        <v>122</v>
      </c>
      <c r="E815" s="4" t="s">
        <v>6</v>
      </c>
      <c r="F815">
        <f>COUNTIFS($D$2:D815,D815)</f>
        <v>13</v>
      </c>
      <c r="G815" t="str">
        <f t="shared" si="12"/>
        <v>3871G</v>
      </c>
      <c r="H815">
        <v>5.4648389000000002</v>
      </c>
      <c r="I815">
        <v>52.174065300000002</v>
      </c>
      <c r="J815" t="s">
        <v>462</v>
      </c>
      <c r="K815" t="s">
        <v>328</v>
      </c>
      <c r="L815" t="s">
        <v>122</v>
      </c>
      <c r="M815" t="s">
        <v>6</v>
      </c>
    </row>
    <row r="816" spans="1:13" x14ac:dyDescent="0.25">
      <c r="A816" s="3" t="s">
        <v>123</v>
      </c>
      <c r="B816" s="4">
        <v>49</v>
      </c>
      <c r="C816" s="4"/>
      <c r="D816" s="4" t="s">
        <v>122</v>
      </c>
      <c r="E816" s="4" t="s">
        <v>6</v>
      </c>
      <c r="F816">
        <f>COUNTIFS($D$2:D816,D816)</f>
        <v>14</v>
      </c>
      <c r="G816" t="str">
        <f t="shared" si="12"/>
        <v>3871G</v>
      </c>
      <c r="H816">
        <v>5.4649231</v>
      </c>
      <c r="I816">
        <v>52.1740694</v>
      </c>
      <c r="J816" t="s">
        <v>462</v>
      </c>
      <c r="K816" t="s">
        <v>329</v>
      </c>
      <c r="L816" t="s">
        <v>122</v>
      </c>
      <c r="M816" t="s">
        <v>6</v>
      </c>
    </row>
    <row r="817" spans="1:13" x14ac:dyDescent="0.25">
      <c r="A817" s="3" t="s">
        <v>123</v>
      </c>
      <c r="B817" s="4">
        <v>51</v>
      </c>
      <c r="C817" s="4"/>
      <c r="D817" s="4" t="s">
        <v>122</v>
      </c>
      <c r="E817" s="4" t="s">
        <v>6</v>
      </c>
      <c r="F817">
        <f>COUNTIFS($D$2:D817,D817)</f>
        <v>15</v>
      </c>
      <c r="G817" t="str">
        <f t="shared" si="12"/>
        <v>3871G</v>
      </c>
      <c r="H817">
        <v>5.4650173999999998</v>
      </c>
      <c r="I817">
        <v>52.174072299999999</v>
      </c>
      <c r="J817" t="s">
        <v>462</v>
      </c>
      <c r="K817" t="s">
        <v>331</v>
      </c>
      <c r="L817" t="s">
        <v>122</v>
      </c>
      <c r="M817" t="s">
        <v>6</v>
      </c>
    </row>
    <row r="818" spans="1:13" x14ac:dyDescent="0.25">
      <c r="A818" s="3" t="s">
        <v>123</v>
      </c>
      <c r="B818" s="4">
        <v>53</v>
      </c>
      <c r="C818" s="4"/>
      <c r="D818" s="4" t="s">
        <v>122</v>
      </c>
      <c r="E818" s="4" t="s">
        <v>6</v>
      </c>
      <c r="F818">
        <f>COUNTIFS($D$2:D818,D818)</f>
        <v>16</v>
      </c>
      <c r="G818" t="str">
        <f t="shared" si="12"/>
        <v>3871G</v>
      </c>
      <c r="H818">
        <v>5.4651101000000004</v>
      </c>
      <c r="I818">
        <v>52.174077199999999</v>
      </c>
      <c r="J818" t="s">
        <v>462</v>
      </c>
      <c r="K818" t="s">
        <v>332</v>
      </c>
      <c r="L818" t="s">
        <v>122</v>
      </c>
      <c r="M818" t="s">
        <v>6</v>
      </c>
    </row>
    <row r="819" spans="1:13" x14ac:dyDescent="0.25">
      <c r="A819" s="3" t="s">
        <v>123</v>
      </c>
      <c r="B819" s="4">
        <v>55</v>
      </c>
      <c r="C819" s="4"/>
      <c r="D819" s="4" t="s">
        <v>122</v>
      </c>
      <c r="E819" s="4" t="s">
        <v>6</v>
      </c>
      <c r="F819">
        <f>COUNTIFS($D$2:D819,D819)</f>
        <v>17</v>
      </c>
      <c r="G819" t="str">
        <f t="shared" si="12"/>
        <v>3871G</v>
      </c>
      <c r="H819">
        <v>5.4652029000000004</v>
      </c>
      <c r="I819">
        <v>52.1741381</v>
      </c>
      <c r="J819" t="s">
        <v>462</v>
      </c>
      <c r="K819" t="s">
        <v>333</v>
      </c>
      <c r="L819" t="s">
        <v>122</v>
      </c>
      <c r="M819" t="s">
        <v>6</v>
      </c>
    </row>
    <row r="820" spans="1:13" x14ac:dyDescent="0.25">
      <c r="A820" s="3" t="s">
        <v>123</v>
      </c>
      <c r="B820" s="4">
        <v>57</v>
      </c>
      <c r="C820" s="4"/>
      <c r="D820" s="4" t="s">
        <v>122</v>
      </c>
      <c r="E820" s="4" t="s">
        <v>6</v>
      </c>
      <c r="F820">
        <f>COUNTIFS($D$2:D820,D820)</f>
        <v>18</v>
      </c>
      <c r="G820" t="str">
        <f t="shared" si="12"/>
        <v>3871G</v>
      </c>
      <c r="H820">
        <v>5.4652810000000001</v>
      </c>
      <c r="I820">
        <v>52.1741411</v>
      </c>
      <c r="J820" t="s">
        <v>462</v>
      </c>
      <c r="K820" t="s">
        <v>334</v>
      </c>
      <c r="L820" t="s">
        <v>122</v>
      </c>
      <c r="M820" t="s">
        <v>6</v>
      </c>
    </row>
    <row r="821" spans="1:13" x14ac:dyDescent="0.25">
      <c r="A821" s="3" t="s">
        <v>123</v>
      </c>
      <c r="B821" s="4">
        <v>59</v>
      </c>
      <c r="C821" s="4"/>
      <c r="D821" s="4" t="s">
        <v>122</v>
      </c>
      <c r="E821" s="4" t="s">
        <v>6</v>
      </c>
      <c r="F821">
        <f>COUNTIFS($D$2:D821,D821)</f>
        <v>19</v>
      </c>
      <c r="G821" t="str">
        <f t="shared" si="12"/>
        <v>3871G</v>
      </c>
      <c r="H821">
        <v>5.4653606999999997</v>
      </c>
      <c r="I821">
        <v>52.174145000000003</v>
      </c>
      <c r="J821" t="s">
        <v>462</v>
      </c>
      <c r="K821" t="s">
        <v>335</v>
      </c>
      <c r="L821" t="s">
        <v>122</v>
      </c>
      <c r="M821" t="s">
        <v>6</v>
      </c>
    </row>
    <row r="822" spans="1:13" x14ac:dyDescent="0.25">
      <c r="A822" s="3" t="s">
        <v>124</v>
      </c>
      <c r="B822" s="4">
        <v>2</v>
      </c>
      <c r="C822" s="4"/>
      <c r="D822" s="4" t="s">
        <v>122</v>
      </c>
      <c r="E822" s="4" t="s">
        <v>6</v>
      </c>
      <c r="F822">
        <f>COUNTIFS($D$2:D822,D822)</f>
        <v>20</v>
      </c>
      <c r="G822" t="str">
        <f t="shared" si="12"/>
        <v>3871G</v>
      </c>
      <c r="H822">
        <v>5.4629279000000004</v>
      </c>
      <c r="I822">
        <v>52.173510200000003</v>
      </c>
      <c r="J822" t="s">
        <v>463</v>
      </c>
      <c r="K822" t="s">
        <v>370</v>
      </c>
      <c r="L822" t="s">
        <v>122</v>
      </c>
      <c r="M822" t="s">
        <v>6</v>
      </c>
    </row>
    <row r="823" spans="1:13" x14ac:dyDescent="0.25">
      <c r="A823" s="3" t="s">
        <v>124</v>
      </c>
      <c r="B823" s="4">
        <v>4</v>
      </c>
      <c r="C823" s="4"/>
      <c r="D823" s="4" t="s">
        <v>122</v>
      </c>
      <c r="E823" s="4" t="s">
        <v>6</v>
      </c>
      <c r="F823">
        <f>COUNTIFS($D$2:D823,D823)</f>
        <v>21</v>
      </c>
      <c r="G823" t="str">
        <f t="shared" si="12"/>
        <v>3871G</v>
      </c>
      <c r="H823">
        <v>5.4631618</v>
      </c>
      <c r="I823">
        <v>52.173518999999999</v>
      </c>
      <c r="J823" t="s">
        <v>463</v>
      </c>
      <c r="K823" t="s">
        <v>260</v>
      </c>
      <c r="L823" t="s">
        <v>122</v>
      </c>
      <c r="M823" t="s">
        <v>6</v>
      </c>
    </row>
    <row r="824" spans="1:13" x14ac:dyDescent="0.25">
      <c r="A824" s="3" t="s">
        <v>124</v>
      </c>
      <c r="B824" s="4">
        <v>6</v>
      </c>
      <c r="C824" s="4"/>
      <c r="D824" s="4" t="s">
        <v>122</v>
      </c>
      <c r="E824" s="4" t="s">
        <v>6</v>
      </c>
      <c r="F824">
        <f>COUNTIFS($D$2:D824,D824)</f>
        <v>22</v>
      </c>
      <c r="G824" t="str">
        <f t="shared" si="12"/>
        <v>3871G</v>
      </c>
      <c r="H824">
        <v>5.4636883000000003</v>
      </c>
      <c r="I824">
        <v>52.173644500000002</v>
      </c>
      <c r="J824" t="s">
        <v>463</v>
      </c>
      <c r="K824" t="s">
        <v>262</v>
      </c>
      <c r="L824" t="s">
        <v>122</v>
      </c>
      <c r="M824" t="s">
        <v>6</v>
      </c>
    </row>
    <row r="825" spans="1:13" x14ac:dyDescent="0.25">
      <c r="A825" s="3" t="s">
        <v>124</v>
      </c>
      <c r="B825" s="4">
        <v>8</v>
      </c>
      <c r="C825" s="4"/>
      <c r="D825" s="4" t="s">
        <v>122</v>
      </c>
      <c r="E825" s="4" t="s">
        <v>6</v>
      </c>
      <c r="F825">
        <f>COUNTIFS($D$2:D825,D825)</f>
        <v>23</v>
      </c>
      <c r="G825" t="str">
        <f t="shared" si="12"/>
        <v>3871G</v>
      </c>
      <c r="H825">
        <v>5.4637760000000002</v>
      </c>
      <c r="I825">
        <v>52.1736535</v>
      </c>
      <c r="J825" t="s">
        <v>463</v>
      </c>
      <c r="K825" t="s">
        <v>263</v>
      </c>
      <c r="L825" t="s">
        <v>122</v>
      </c>
      <c r="M825" t="s">
        <v>6</v>
      </c>
    </row>
    <row r="826" spans="1:13" x14ac:dyDescent="0.25">
      <c r="A826" s="3" t="s">
        <v>124</v>
      </c>
      <c r="B826" s="4">
        <v>10</v>
      </c>
      <c r="C826" s="4"/>
      <c r="D826" s="4" t="s">
        <v>122</v>
      </c>
      <c r="E826" s="4" t="s">
        <v>6</v>
      </c>
      <c r="F826">
        <f>COUNTIFS($D$2:D826,D826)</f>
        <v>24</v>
      </c>
      <c r="G826" t="str">
        <f t="shared" si="12"/>
        <v>3871G</v>
      </c>
      <c r="H826">
        <v>5.4638637000000001</v>
      </c>
      <c r="I826">
        <v>52.173653399999999</v>
      </c>
      <c r="J826" t="s">
        <v>463</v>
      </c>
      <c r="K826" t="s">
        <v>264</v>
      </c>
      <c r="L826" t="s">
        <v>122</v>
      </c>
      <c r="M826" t="s">
        <v>6</v>
      </c>
    </row>
    <row r="827" spans="1:13" x14ac:dyDescent="0.25">
      <c r="A827" s="3" t="s">
        <v>124</v>
      </c>
      <c r="B827" s="4">
        <v>12</v>
      </c>
      <c r="C827" s="4"/>
      <c r="D827" s="4" t="s">
        <v>122</v>
      </c>
      <c r="E827" s="4" t="s">
        <v>6</v>
      </c>
      <c r="F827">
        <f>COUNTIFS($D$2:D827,D827)</f>
        <v>25</v>
      </c>
      <c r="G827" t="str">
        <f t="shared" si="12"/>
        <v>3871G</v>
      </c>
      <c r="H827">
        <v>5.4639806999999996</v>
      </c>
      <c r="I827">
        <v>52.173653299999998</v>
      </c>
      <c r="J827" t="s">
        <v>463</v>
      </c>
      <c r="K827" t="s">
        <v>265</v>
      </c>
      <c r="L827" t="s">
        <v>122</v>
      </c>
      <c r="M827" t="s">
        <v>6</v>
      </c>
    </row>
    <row r="828" spans="1:13" x14ac:dyDescent="0.25">
      <c r="A828" s="3" t="s">
        <v>124</v>
      </c>
      <c r="B828" s="4">
        <v>14</v>
      </c>
      <c r="C828" s="4"/>
      <c r="D828" s="4" t="s">
        <v>122</v>
      </c>
      <c r="E828" s="4" t="s">
        <v>6</v>
      </c>
      <c r="F828">
        <f>COUNTIFS($D$2:D828,D828)</f>
        <v>26</v>
      </c>
      <c r="G828" t="str">
        <f t="shared" si="12"/>
        <v>3871G</v>
      </c>
      <c r="H828">
        <v>5.4642898999999998</v>
      </c>
      <c r="I828">
        <v>52.173695700000003</v>
      </c>
      <c r="J828" t="s">
        <v>463</v>
      </c>
      <c r="K828" t="s">
        <v>266</v>
      </c>
      <c r="L828" t="s">
        <v>122</v>
      </c>
      <c r="M828" t="s">
        <v>6</v>
      </c>
    </row>
    <row r="829" spans="1:13" x14ac:dyDescent="0.25">
      <c r="A829" s="3" t="s">
        <v>124</v>
      </c>
      <c r="B829" s="4">
        <v>16</v>
      </c>
      <c r="C829" s="4"/>
      <c r="D829" s="4" t="s">
        <v>122</v>
      </c>
      <c r="E829" s="4" t="s">
        <v>6</v>
      </c>
      <c r="F829">
        <f>COUNTIFS($D$2:D829,D829)</f>
        <v>27</v>
      </c>
      <c r="G829" t="str">
        <f t="shared" si="12"/>
        <v>3871G</v>
      </c>
      <c r="H829">
        <v>5.4643911000000003</v>
      </c>
      <c r="I829">
        <v>52.173710100000001</v>
      </c>
      <c r="J829" t="s">
        <v>463</v>
      </c>
      <c r="K829" t="s">
        <v>371</v>
      </c>
      <c r="L829" t="s">
        <v>122</v>
      </c>
      <c r="M829" t="s">
        <v>6</v>
      </c>
    </row>
    <row r="830" spans="1:13" x14ac:dyDescent="0.25">
      <c r="A830" s="3" t="s">
        <v>124</v>
      </c>
      <c r="B830" s="4">
        <v>18</v>
      </c>
      <c r="C830" s="4"/>
      <c r="D830" s="4" t="s">
        <v>122</v>
      </c>
      <c r="E830" s="4" t="s">
        <v>6</v>
      </c>
      <c r="F830">
        <f>COUNTIFS($D$2:D830,D830)</f>
        <v>28</v>
      </c>
      <c r="G830" t="str">
        <f t="shared" si="12"/>
        <v>3871G</v>
      </c>
      <c r="H830">
        <v>5.4644880999999996</v>
      </c>
      <c r="I830">
        <v>52.173749100000002</v>
      </c>
      <c r="J830" t="s">
        <v>463</v>
      </c>
      <c r="K830" t="s">
        <v>267</v>
      </c>
      <c r="L830" t="s">
        <v>122</v>
      </c>
      <c r="M830" t="s">
        <v>6</v>
      </c>
    </row>
    <row r="831" spans="1:13" x14ac:dyDescent="0.25">
      <c r="A831" s="3" t="s">
        <v>124</v>
      </c>
      <c r="B831" s="4">
        <v>20</v>
      </c>
      <c r="C831" s="4"/>
      <c r="D831" s="4" t="s">
        <v>122</v>
      </c>
      <c r="E831" s="4" t="s">
        <v>6</v>
      </c>
      <c r="F831">
        <f>COUNTIFS($D$2:D831,D831)</f>
        <v>29</v>
      </c>
      <c r="G831" t="str">
        <f t="shared" si="12"/>
        <v>3871G</v>
      </c>
      <c r="H831">
        <v>5.4645925999999996</v>
      </c>
      <c r="I831">
        <v>52.173736599999998</v>
      </c>
      <c r="J831" t="s">
        <v>463</v>
      </c>
      <c r="K831" t="s">
        <v>372</v>
      </c>
      <c r="L831" t="s">
        <v>122</v>
      </c>
      <c r="M831" t="s">
        <v>6</v>
      </c>
    </row>
    <row r="832" spans="1:13" x14ac:dyDescent="0.25">
      <c r="A832" s="3" t="s">
        <v>124</v>
      </c>
      <c r="B832" s="4">
        <v>22</v>
      </c>
      <c r="C832" s="4"/>
      <c r="D832" s="4" t="s">
        <v>122</v>
      </c>
      <c r="E832" s="4" t="s">
        <v>6</v>
      </c>
      <c r="F832">
        <f>COUNTIFS($D$2:D832,D832)</f>
        <v>30</v>
      </c>
      <c r="G832" t="str">
        <f t="shared" si="12"/>
        <v>3871G</v>
      </c>
      <c r="H832">
        <v>5.4649235000000003</v>
      </c>
      <c r="I832">
        <v>52.173812499999997</v>
      </c>
      <c r="J832" t="s">
        <v>463</v>
      </c>
      <c r="K832" t="s">
        <v>269</v>
      </c>
      <c r="L832" t="s">
        <v>122</v>
      </c>
      <c r="M832" t="s">
        <v>6</v>
      </c>
    </row>
    <row r="833" spans="1:13" x14ac:dyDescent="0.25">
      <c r="A833" s="3" t="s">
        <v>124</v>
      </c>
      <c r="B833" s="4">
        <v>24</v>
      </c>
      <c r="C833" s="4"/>
      <c r="D833" s="4" t="s">
        <v>122</v>
      </c>
      <c r="E833" s="4" t="s">
        <v>6</v>
      </c>
      <c r="F833">
        <f>COUNTIFS($D$2:D833,D833)</f>
        <v>31</v>
      </c>
      <c r="G833" t="str">
        <f t="shared" si="12"/>
        <v>3871G</v>
      </c>
      <c r="H833">
        <v>5.4650284999999998</v>
      </c>
      <c r="I833">
        <v>52.173799000000002</v>
      </c>
      <c r="J833" t="s">
        <v>463</v>
      </c>
      <c r="K833" t="s">
        <v>270</v>
      </c>
      <c r="L833" t="s">
        <v>122</v>
      </c>
      <c r="M833" t="s">
        <v>6</v>
      </c>
    </row>
    <row r="834" spans="1:13" x14ac:dyDescent="0.25">
      <c r="A834" s="3" t="s">
        <v>124</v>
      </c>
      <c r="B834" s="4">
        <v>26</v>
      </c>
      <c r="C834" s="4"/>
      <c r="D834" s="4" t="s">
        <v>122</v>
      </c>
      <c r="E834" s="4" t="s">
        <v>6</v>
      </c>
      <c r="F834">
        <f>COUNTIFS($D$2:D834,D834)</f>
        <v>32</v>
      </c>
      <c r="G834" t="str">
        <f t="shared" ref="G834:G897" si="13">LEFT(A834,5)</f>
        <v>3871G</v>
      </c>
      <c r="H834">
        <v>5.4651357999999997</v>
      </c>
      <c r="I834">
        <v>52.173787400000002</v>
      </c>
      <c r="J834" t="s">
        <v>463</v>
      </c>
      <c r="K834" t="s">
        <v>271</v>
      </c>
      <c r="L834" t="s">
        <v>122</v>
      </c>
      <c r="M834" t="s">
        <v>6</v>
      </c>
    </row>
    <row r="835" spans="1:13" x14ac:dyDescent="0.25">
      <c r="A835" s="3" t="s">
        <v>124</v>
      </c>
      <c r="B835" s="4">
        <v>28</v>
      </c>
      <c r="C835" s="4"/>
      <c r="D835" s="4" t="s">
        <v>122</v>
      </c>
      <c r="E835" s="4" t="s">
        <v>6</v>
      </c>
      <c r="F835">
        <f>COUNTIFS($D$2:D835,D835)</f>
        <v>33</v>
      </c>
      <c r="G835" t="str">
        <f t="shared" si="13"/>
        <v>3871G</v>
      </c>
      <c r="H835">
        <v>5.4652117999999996</v>
      </c>
      <c r="I835">
        <v>52.1737763</v>
      </c>
      <c r="J835" t="s">
        <v>463</v>
      </c>
      <c r="K835" t="s">
        <v>272</v>
      </c>
      <c r="L835" t="s">
        <v>122</v>
      </c>
      <c r="M835" t="s">
        <v>6</v>
      </c>
    </row>
    <row r="836" spans="1:13" x14ac:dyDescent="0.25">
      <c r="A836" s="3" t="s">
        <v>125</v>
      </c>
      <c r="B836" s="4">
        <v>1</v>
      </c>
      <c r="C836" s="4"/>
      <c r="D836" s="4" t="s">
        <v>126</v>
      </c>
      <c r="E836" s="4" t="s">
        <v>6</v>
      </c>
      <c r="F836">
        <f>COUNTIFS($D$2:D836,D836)</f>
        <v>1</v>
      </c>
      <c r="G836" t="str">
        <f t="shared" si="13"/>
        <v>3871G</v>
      </c>
      <c r="H836">
        <v>5.4601952000000002</v>
      </c>
      <c r="I836">
        <v>52.174105099999998</v>
      </c>
      <c r="J836" t="s">
        <v>464</v>
      </c>
      <c r="K836" t="s">
        <v>355</v>
      </c>
      <c r="L836" t="s">
        <v>126</v>
      </c>
      <c r="M836" t="s">
        <v>6</v>
      </c>
    </row>
    <row r="837" spans="1:13" x14ac:dyDescent="0.25">
      <c r="A837" s="3" t="s">
        <v>125</v>
      </c>
      <c r="B837" s="4">
        <v>3</v>
      </c>
      <c r="C837" s="4"/>
      <c r="D837" s="4" t="s">
        <v>126</v>
      </c>
      <c r="E837" s="4" t="s">
        <v>6</v>
      </c>
      <c r="F837">
        <f>COUNTIFS($D$2:D837,D837)</f>
        <v>2</v>
      </c>
      <c r="G837" t="str">
        <f t="shared" si="13"/>
        <v>3871G</v>
      </c>
      <c r="H837">
        <v>5.4602095999999998</v>
      </c>
      <c r="I837">
        <v>52.173997300000003</v>
      </c>
      <c r="J837" t="s">
        <v>464</v>
      </c>
      <c r="K837" t="s">
        <v>356</v>
      </c>
      <c r="L837" t="s">
        <v>126</v>
      </c>
      <c r="M837" t="s">
        <v>6</v>
      </c>
    </row>
    <row r="838" spans="1:13" x14ac:dyDescent="0.25">
      <c r="A838" s="3" t="s">
        <v>125</v>
      </c>
      <c r="B838" s="4">
        <v>5</v>
      </c>
      <c r="C838" s="4"/>
      <c r="D838" s="4" t="s">
        <v>126</v>
      </c>
      <c r="E838" s="4" t="s">
        <v>6</v>
      </c>
      <c r="F838">
        <f>COUNTIFS($D$2:D838,D838)</f>
        <v>3</v>
      </c>
      <c r="G838" t="str">
        <f t="shared" si="13"/>
        <v>3871G</v>
      </c>
      <c r="H838">
        <v>5.4602240999999996</v>
      </c>
      <c r="I838">
        <v>52.173925400000002</v>
      </c>
      <c r="J838" t="s">
        <v>464</v>
      </c>
      <c r="K838" t="s">
        <v>357</v>
      </c>
      <c r="L838" t="s">
        <v>126</v>
      </c>
      <c r="M838" t="s">
        <v>6</v>
      </c>
    </row>
    <row r="839" spans="1:13" x14ac:dyDescent="0.25">
      <c r="A839" s="3" t="s">
        <v>125</v>
      </c>
      <c r="B839" s="4">
        <v>7</v>
      </c>
      <c r="C839" s="4"/>
      <c r="D839" s="4" t="s">
        <v>126</v>
      </c>
      <c r="E839" s="4" t="s">
        <v>6</v>
      </c>
      <c r="F839">
        <f>COUNTIFS($D$2:D839,D839)</f>
        <v>4</v>
      </c>
      <c r="G839" t="str">
        <f t="shared" si="13"/>
        <v>3871G</v>
      </c>
      <c r="H839">
        <v>5.4602386000000003</v>
      </c>
      <c r="I839">
        <v>52.173835500000003</v>
      </c>
      <c r="J839" t="s">
        <v>464</v>
      </c>
      <c r="K839" t="s">
        <v>358</v>
      </c>
      <c r="L839" t="s">
        <v>126</v>
      </c>
      <c r="M839" t="s">
        <v>6</v>
      </c>
    </row>
    <row r="840" spans="1:13" x14ac:dyDescent="0.25">
      <c r="A840" s="3" t="s">
        <v>125</v>
      </c>
      <c r="B840" s="4">
        <v>9</v>
      </c>
      <c r="C840" s="4"/>
      <c r="D840" s="4" t="s">
        <v>126</v>
      </c>
      <c r="E840" s="4" t="s">
        <v>6</v>
      </c>
      <c r="F840">
        <f>COUNTIFS($D$2:D840,D840)</f>
        <v>5</v>
      </c>
      <c r="G840" t="str">
        <f t="shared" si="13"/>
        <v>3871G</v>
      </c>
      <c r="H840">
        <v>5.4602385</v>
      </c>
      <c r="I840">
        <v>52.173754600000002</v>
      </c>
      <c r="J840" t="s">
        <v>464</v>
      </c>
      <c r="K840" t="s">
        <v>382</v>
      </c>
      <c r="L840" t="s">
        <v>126</v>
      </c>
      <c r="M840" t="s">
        <v>6</v>
      </c>
    </row>
    <row r="841" spans="1:13" x14ac:dyDescent="0.25">
      <c r="A841" s="3" t="s">
        <v>125</v>
      </c>
      <c r="B841" s="4">
        <v>11</v>
      </c>
      <c r="C841" s="4"/>
      <c r="D841" s="4" t="s">
        <v>126</v>
      </c>
      <c r="E841" s="4" t="s">
        <v>6</v>
      </c>
      <c r="F841">
        <f>COUNTIFS($D$2:D841,D841)</f>
        <v>6</v>
      </c>
      <c r="G841" t="str">
        <f t="shared" si="13"/>
        <v>3871G</v>
      </c>
      <c r="H841">
        <v>5.4602383000000003</v>
      </c>
      <c r="I841">
        <v>52.173646699999999</v>
      </c>
      <c r="J841" t="s">
        <v>464</v>
      </c>
      <c r="K841" t="s">
        <v>391</v>
      </c>
      <c r="L841" t="s">
        <v>126</v>
      </c>
      <c r="M841" t="s">
        <v>6</v>
      </c>
    </row>
    <row r="842" spans="1:13" x14ac:dyDescent="0.25">
      <c r="A842" s="3" t="s">
        <v>127</v>
      </c>
      <c r="B842" s="4">
        <v>1</v>
      </c>
      <c r="C842" s="4"/>
      <c r="D842" s="4" t="s">
        <v>128</v>
      </c>
      <c r="E842" s="4" t="s">
        <v>6</v>
      </c>
      <c r="F842">
        <f>COUNTIFS($D$2:D842,D842)</f>
        <v>1</v>
      </c>
      <c r="G842" t="str">
        <f t="shared" si="13"/>
        <v>3871G</v>
      </c>
      <c r="H842">
        <v>5.4599178999999998</v>
      </c>
      <c r="I842">
        <v>52.174410899999998</v>
      </c>
      <c r="J842" t="s">
        <v>465</v>
      </c>
      <c r="K842" t="s">
        <v>355</v>
      </c>
      <c r="L842" t="s">
        <v>128</v>
      </c>
      <c r="M842" t="s">
        <v>6</v>
      </c>
    </row>
    <row r="843" spans="1:13" x14ac:dyDescent="0.25">
      <c r="A843" s="3" t="s">
        <v>127</v>
      </c>
      <c r="B843" s="4">
        <v>3</v>
      </c>
      <c r="C843" s="4"/>
      <c r="D843" s="4" t="s">
        <v>128</v>
      </c>
      <c r="E843" s="4" t="s">
        <v>6</v>
      </c>
      <c r="F843">
        <f>COUNTIFS($D$2:D843,D843)</f>
        <v>2</v>
      </c>
      <c r="G843" t="str">
        <f t="shared" si="13"/>
        <v>3871G</v>
      </c>
      <c r="H843">
        <v>5.4599034</v>
      </c>
      <c r="I843">
        <v>52.174464800000003</v>
      </c>
      <c r="J843" t="s">
        <v>465</v>
      </c>
      <c r="K843" t="s">
        <v>356</v>
      </c>
      <c r="L843" t="s">
        <v>128</v>
      </c>
      <c r="M843" t="s">
        <v>6</v>
      </c>
    </row>
    <row r="844" spans="1:13" x14ac:dyDescent="0.25">
      <c r="A844" s="3" t="s">
        <v>127</v>
      </c>
      <c r="B844" s="4">
        <v>5</v>
      </c>
      <c r="C844" s="4"/>
      <c r="D844" s="4" t="s">
        <v>128</v>
      </c>
      <c r="E844" s="4" t="s">
        <v>6</v>
      </c>
      <c r="F844">
        <f>COUNTIFS($D$2:D844,D844)</f>
        <v>3</v>
      </c>
      <c r="G844" t="str">
        <f t="shared" si="13"/>
        <v>3871G</v>
      </c>
      <c r="H844">
        <v>5.4599035000000002</v>
      </c>
      <c r="I844">
        <v>52.174527699999999</v>
      </c>
      <c r="J844" t="s">
        <v>465</v>
      </c>
      <c r="K844" t="s">
        <v>357</v>
      </c>
      <c r="L844" t="s">
        <v>128</v>
      </c>
      <c r="M844" t="s">
        <v>6</v>
      </c>
    </row>
    <row r="845" spans="1:13" x14ac:dyDescent="0.25">
      <c r="A845" s="3" t="s">
        <v>127</v>
      </c>
      <c r="B845" s="4">
        <v>7</v>
      </c>
      <c r="C845" s="4"/>
      <c r="D845" s="4" t="s">
        <v>128</v>
      </c>
      <c r="E845" s="4" t="s">
        <v>6</v>
      </c>
      <c r="F845">
        <f>COUNTIFS($D$2:D845,D845)</f>
        <v>4</v>
      </c>
      <c r="G845" t="str">
        <f t="shared" si="13"/>
        <v>3871G</v>
      </c>
      <c r="H845">
        <v>5.4599035999999996</v>
      </c>
      <c r="I845">
        <v>52.174581699999997</v>
      </c>
      <c r="J845" t="s">
        <v>465</v>
      </c>
      <c r="K845" t="s">
        <v>358</v>
      </c>
      <c r="L845" t="s">
        <v>128</v>
      </c>
      <c r="M845" t="s">
        <v>6</v>
      </c>
    </row>
    <row r="846" spans="1:13" x14ac:dyDescent="0.25">
      <c r="A846" s="3" t="s">
        <v>127</v>
      </c>
      <c r="B846" s="4">
        <v>9</v>
      </c>
      <c r="C846" s="4"/>
      <c r="D846" s="4" t="s">
        <v>128</v>
      </c>
      <c r="E846" s="4" t="s">
        <v>6</v>
      </c>
      <c r="F846">
        <f>COUNTIFS($D$2:D846,D846)</f>
        <v>5</v>
      </c>
      <c r="G846" t="str">
        <f t="shared" si="13"/>
        <v>3871G</v>
      </c>
      <c r="H846">
        <v>5.4599036999999999</v>
      </c>
      <c r="I846">
        <v>52.174635600000002</v>
      </c>
      <c r="J846" t="s">
        <v>465</v>
      </c>
      <c r="K846" t="s">
        <v>382</v>
      </c>
      <c r="L846" t="s">
        <v>128</v>
      </c>
      <c r="M846" t="s">
        <v>6</v>
      </c>
    </row>
    <row r="847" spans="1:13" x14ac:dyDescent="0.25">
      <c r="A847" s="3" t="s">
        <v>127</v>
      </c>
      <c r="B847" s="4">
        <v>11</v>
      </c>
      <c r="C847" s="4"/>
      <c r="D847" s="4" t="s">
        <v>128</v>
      </c>
      <c r="E847" s="4" t="s">
        <v>6</v>
      </c>
      <c r="F847">
        <f>COUNTIFS($D$2:D847,D847)</f>
        <v>6</v>
      </c>
      <c r="G847" t="str">
        <f t="shared" si="13"/>
        <v>3871G</v>
      </c>
      <c r="H847">
        <v>5.4598744999999997</v>
      </c>
      <c r="I847">
        <v>52.174689499999999</v>
      </c>
      <c r="J847" t="s">
        <v>465</v>
      </c>
      <c r="K847" t="s">
        <v>391</v>
      </c>
      <c r="L847" t="s">
        <v>128</v>
      </c>
      <c r="M847" t="s">
        <v>6</v>
      </c>
    </row>
    <row r="848" spans="1:13" x14ac:dyDescent="0.25">
      <c r="A848" s="3" t="s">
        <v>127</v>
      </c>
      <c r="B848" s="4">
        <v>13</v>
      </c>
      <c r="C848" s="4"/>
      <c r="D848" s="4" t="s">
        <v>128</v>
      </c>
      <c r="E848" s="4" t="s">
        <v>6</v>
      </c>
      <c r="F848">
        <f>COUNTIFS($D$2:D848,D848)</f>
        <v>7</v>
      </c>
      <c r="G848" t="str">
        <f t="shared" si="13"/>
        <v>3871G</v>
      </c>
      <c r="H848">
        <v>5.4604447</v>
      </c>
      <c r="I848">
        <v>52.174725100000003</v>
      </c>
      <c r="J848" t="s">
        <v>465</v>
      </c>
      <c r="K848" t="s">
        <v>359</v>
      </c>
      <c r="L848" t="s">
        <v>128</v>
      </c>
      <c r="M848" t="s">
        <v>6</v>
      </c>
    </row>
    <row r="849" spans="1:13" x14ac:dyDescent="0.25">
      <c r="A849" s="3" t="s">
        <v>127</v>
      </c>
      <c r="B849" s="4">
        <v>15</v>
      </c>
      <c r="C849" s="4"/>
      <c r="D849" s="4" t="s">
        <v>128</v>
      </c>
      <c r="E849" s="4" t="s">
        <v>6</v>
      </c>
      <c r="F849">
        <f>COUNTIFS($D$2:D849,D849)</f>
        <v>8</v>
      </c>
      <c r="G849" t="str">
        <f t="shared" si="13"/>
        <v>3871G</v>
      </c>
      <c r="H849">
        <v>5.4604737999999999</v>
      </c>
      <c r="I849">
        <v>52.174653200000002</v>
      </c>
      <c r="J849" t="s">
        <v>465</v>
      </c>
      <c r="K849" t="s">
        <v>383</v>
      </c>
      <c r="L849" t="s">
        <v>128</v>
      </c>
      <c r="M849" t="s">
        <v>6</v>
      </c>
    </row>
    <row r="850" spans="1:13" x14ac:dyDescent="0.25">
      <c r="A850" s="3" t="s">
        <v>127</v>
      </c>
      <c r="B850" s="4">
        <v>17</v>
      </c>
      <c r="C850" s="4"/>
      <c r="D850" s="4" t="s">
        <v>128</v>
      </c>
      <c r="E850" s="4" t="s">
        <v>6</v>
      </c>
      <c r="F850">
        <f>COUNTIFS($D$2:D850,D850)</f>
        <v>9</v>
      </c>
      <c r="G850" t="str">
        <f t="shared" si="13"/>
        <v>3871G</v>
      </c>
      <c r="H850">
        <v>5.4604736999999997</v>
      </c>
      <c r="I850">
        <v>52.174599299999997</v>
      </c>
      <c r="J850" t="s">
        <v>465</v>
      </c>
      <c r="K850" t="s">
        <v>360</v>
      </c>
      <c r="L850" t="s">
        <v>128</v>
      </c>
      <c r="M850" t="s">
        <v>6</v>
      </c>
    </row>
    <row r="851" spans="1:13" x14ac:dyDescent="0.25">
      <c r="A851" s="3" t="s">
        <v>127</v>
      </c>
      <c r="B851" s="4">
        <v>19</v>
      </c>
      <c r="C851" s="4"/>
      <c r="D851" s="4" t="s">
        <v>128</v>
      </c>
      <c r="E851" s="4" t="s">
        <v>6</v>
      </c>
      <c r="F851">
        <f>COUNTIFS($D$2:D851,D851)</f>
        <v>10</v>
      </c>
      <c r="G851" t="str">
        <f t="shared" si="13"/>
        <v>3871G</v>
      </c>
      <c r="H851">
        <v>5.4604736000000003</v>
      </c>
      <c r="I851">
        <v>52.174536400000001</v>
      </c>
      <c r="J851" t="s">
        <v>465</v>
      </c>
      <c r="K851" t="s">
        <v>361</v>
      </c>
      <c r="L851" t="s">
        <v>128</v>
      </c>
      <c r="M851" t="s">
        <v>6</v>
      </c>
    </row>
    <row r="852" spans="1:13" x14ac:dyDescent="0.25">
      <c r="A852" s="3" t="s">
        <v>127</v>
      </c>
      <c r="B852" s="4">
        <v>21</v>
      </c>
      <c r="C852" s="4"/>
      <c r="D852" s="4" t="s">
        <v>128</v>
      </c>
      <c r="E852" s="4" t="s">
        <v>6</v>
      </c>
      <c r="F852">
        <f>COUNTIFS($D$2:D852,D852)</f>
        <v>11</v>
      </c>
      <c r="G852" t="str">
        <f t="shared" si="13"/>
        <v>3871G</v>
      </c>
      <c r="H852">
        <v>5.4604882000000003</v>
      </c>
      <c r="I852">
        <v>52.174482400000002</v>
      </c>
      <c r="J852" t="s">
        <v>465</v>
      </c>
      <c r="K852" t="s">
        <v>362</v>
      </c>
      <c r="L852" t="s">
        <v>128</v>
      </c>
      <c r="M852" t="s">
        <v>6</v>
      </c>
    </row>
    <row r="853" spans="1:13" x14ac:dyDescent="0.25">
      <c r="A853" s="3" t="s">
        <v>127</v>
      </c>
      <c r="B853" s="4">
        <v>23</v>
      </c>
      <c r="C853" s="4"/>
      <c r="D853" s="4" t="s">
        <v>128</v>
      </c>
      <c r="E853" s="4" t="s">
        <v>6</v>
      </c>
      <c r="F853">
        <f>COUNTIFS($D$2:D853,D853)</f>
        <v>12</v>
      </c>
      <c r="G853" t="str">
        <f t="shared" si="13"/>
        <v>3871G</v>
      </c>
      <c r="H853">
        <v>5.4604881000000001</v>
      </c>
      <c r="I853">
        <v>52.174428499999998</v>
      </c>
      <c r="J853" t="s">
        <v>465</v>
      </c>
      <c r="K853" t="s">
        <v>384</v>
      </c>
      <c r="L853" t="s">
        <v>128</v>
      </c>
      <c r="M853" t="s">
        <v>6</v>
      </c>
    </row>
    <row r="854" spans="1:13" x14ac:dyDescent="0.25">
      <c r="A854" s="3" t="s">
        <v>127</v>
      </c>
      <c r="B854" s="4">
        <v>25</v>
      </c>
      <c r="C854" s="4"/>
      <c r="D854" s="4" t="s">
        <v>128</v>
      </c>
      <c r="E854" s="4" t="s">
        <v>6</v>
      </c>
      <c r="F854">
        <f>COUNTIFS($D$2:D854,D854)</f>
        <v>13</v>
      </c>
      <c r="G854" t="str">
        <f t="shared" si="13"/>
        <v>3871G</v>
      </c>
      <c r="H854">
        <v>5.4609705000000002</v>
      </c>
      <c r="I854">
        <v>52.174455199999997</v>
      </c>
      <c r="J854" t="s">
        <v>465</v>
      </c>
      <c r="K854" t="s">
        <v>385</v>
      </c>
      <c r="L854" t="s">
        <v>128</v>
      </c>
      <c r="M854" t="s">
        <v>6</v>
      </c>
    </row>
    <row r="855" spans="1:13" x14ac:dyDescent="0.25">
      <c r="A855" s="3" t="s">
        <v>127</v>
      </c>
      <c r="B855" s="4">
        <v>27</v>
      </c>
      <c r="C855" s="4"/>
      <c r="D855" s="4" t="s">
        <v>128</v>
      </c>
      <c r="E855" s="4" t="s">
        <v>6</v>
      </c>
      <c r="F855">
        <f>COUNTIFS($D$2:D855,D855)</f>
        <v>14</v>
      </c>
      <c r="G855" t="str">
        <f t="shared" si="13"/>
        <v>3871G</v>
      </c>
      <c r="H855">
        <v>5.4609705999999996</v>
      </c>
      <c r="I855">
        <v>52.174509100000002</v>
      </c>
      <c r="J855" t="s">
        <v>465</v>
      </c>
      <c r="K855" t="s">
        <v>393</v>
      </c>
      <c r="L855" t="s">
        <v>128</v>
      </c>
      <c r="M855" t="s">
        <v>6</v>
      </c>
    </row>
    <row r="856" spans="1:13" x14ac:dyDescent="0.25">
      <c r="A856" s="3" t="s">
        <v>127</v>
      </c>
      <c r="B856" s="4">
        <v>29</v>
      </c>
      <c r="C856" s="4"/>
      <c r="D856" s="4" t="s">
        <v>128</v>
      </c>
      <c r="E856" s="4" t="s">
        <v>6</v>
      </c>
      <c r="F856">
        <f>COUNTIFS($D$2:D856,D856)</f>
        <v>15</v>
      </c>
      <c r="G856" t="str">
        <f t="shared" si="13"/>
        <v>3871G</v>
      </c>
      <c r="H856">
        <v>5.4609560999999998</v>
      </c>
      <c r="I856">
        <v>52.174562999999999</v>
      </c>
      <c r="J856" t="s">
        <v>465</v>
      </c>
      <c r="K856" t="s">
        <v>364</v>
      </c>
      <c r="L856" t="s">
        <v>128</v>
      </c>
      <c r="M856" t="s">
        <v>6</v>
      </c>
    </row>
    <row r="857" spans="1:13" x14ac:dyDescent="0.25">
      <c r="A857" s="3" t="s">
        <v>127</v>
      </c>
      <c r="B857" s="4">
        <v>31</v>
      </c>
      <c r="C857" s="4"/>
      <c r="D857" s="4" t="s">
        <v>128</v>
      </c>
      <c r="E857" s="4" t="s">
        <v>6</v>
      </c>
      <c r="F857">
        <f>COUNTIFS($D$2:D857,D857)</f>
        <v>16</v>
      </c>
      <c r="G857" t="str">
        <f t="shared" si="13"/>
        <v>3871G</v>
      </c>
      <c r="H857">
        <v>5.4609562</v>
      </c>
      <c r="I857">
        <v>52.174616999999998</v>
      </c>
      <c r="J857" t="s">
        <v>465</v>
      </c>
      <c r="K857" t="s">
        <v>323</v>
      </c>
      <c r="L857" t="s">
        <v>128</v>
      </c>
      <c r="M857" t="s">
        <v>6</v>
      </c>
    </row>
    <row r="858" spans="1:13" x14ac:dyDescent="0.25">
      <c r="A858" s="3" t="s">
        <v>127</v>
      </c>
      <c r="B858" s="4">
        <v>33</v>
      </c>
      <c r="C858" s="4"/>
      <c r="D858" s="4" t="s">
        <v>128</v>
      </c>
      <c r="E858" s="4" t="s">
        <v>6</v>
      </c>
      <c r="F858">
        <f>COUNTIFS($D$2:D858,D858)</f>
        <v>17</v>
      </c>
      <c r="G858" t="str">
        <f t="shared" si="13"/>
        <v>3871G</v>
      </c>
      <c r="H858">
        <v>5.4609563000000003</v>
      </c>
      <c r="I858">
        <v>52.174670900000002</v>
      </c>
      <c r="J858" t="s">
        <v>465</v>
      </c>
      <c r="K858" t="s">
        <v>365</v>
      </c>
      <c r="L858" t="s">
        <v>128</v>
      </c>
      <c r="M858" t="s">
        <v>6</v>
      </c>
    </row>
    <row r="859" spans="1:13" x14ac:dyDescent="0.25">
      <c r="A859" s="3" t="s">
        <v>127</v>
      </c>
      <c r="B859" s="4">
        <v>35</v>
      </c>
      <c r="C859" s="4"/>
      <c r="D859" s="4" t="s">
        <v>128</v>
      </c>
      <c r="E859" s="4" t="s">
        <v>6</v>
      </c>
      <c r="F859">
        <f>COUNTIFS($D$2:D859,D859)</f>
        <v>18</v>
      </c>
      <c r="G859" t="str">
        <f t="shared" si="13"/>
        <v>3871G</v>
      </c>
      <c r="H859">
        <v>5.4609417999999996</v>
      </c>
      <c r="I859">
        <v>52.174733799999998</v>
      </c>
      <c r="J859" t="s">
        <v>465</v>
      </c>
      <c r="K859" t="s">
        <v>366</v>
      </c>
      <c r="L859" t="s">
        <v>128</v>
      </c>
      <c r="M859" t="s">
        <v>6</v>
      </c>
    </row>
    <row r="860" spans="1:13" x14ac:dyDescent="0.25">
      <c r="A860" s="3" t="s">
        <v>127</v>
      </c>
      <c r="B860" s="4">
        <v>37</v>
      </c>
      <c r="C860" s="4"/>
      <c r="D860" s="4" t="s">
        <v>128</v>
      </c>
      <c r="E860" s="4" t="s">
        <v>6</v>
      </c>
      <c r="F860">
        <f>COUNTIFS($D$2:D860,D860)</f>
        <v>19</v>
      </c>
      <c r="G860" t="str">
        <f t="shared" si="13"/>
        <v>3871G</v>
      </c>
      <c r="H860">
        <v>5.4615266</v>
      </c>
      <c r="I860">
        <v>52.174760399999997</v>
      </c>
      <c r="J860" t="s">
        <v>465</v>
      </c>
      <c r="K860" t="s">
        <v>367</v>
      </c>
      <c r="L860" t="s">
        <v>128</v>
      </c>
      <c r="M860" t="s">
        <v>6</v>
      </c>
    </row>
    <row r="861" spans="1:13" x14ac:dyDescent="0.25">
      <c r="A861" s="3" t="s">
        <v>127</v>
      </c>
      <c r="B861" s="4">
        <v>39</v>
      </c>
      <c r="C861" s="4"/>
      <c r="D861" s="4" t="s">
        <v>128</v>
      </c>
      <c r="E861" s="4" t="s">
        <v>6</v>
      </c>
      <c r="F861">
        <f>COUNTIFS($D$2:D861,D861)</f>
        <v>20</v>
      </c>
      <c r="G861" t="str">
        <f t="shared" si="13"/>
        <v>3871G</v>
      </c>
      <c r="H861">
        <v>5.4615410999999998</v>
      </c>
      <c r="I861">
        <v>52.174697500000001</v>
      </c>
      <c r="J861" t="s">
        <v>465</v>
      </c>
      <c r="K861" t="s">
        <v>368</v>
      </c>
      <c r="L861" t="s">
        <v>128</v>
      </c>
      <c r="M861" t="s">
        <v>6</v>
      </c>
    </row>
    <row r="862" spans="1:13" x14ac:dyDescent="0.25">
      <c r="A862" s="3" t="s">
        <v>129</v>
      </c>
      <c r="B862" s="4">
        <v>41</v>
      </c>
      <c r="C862" s="4"/>
      <c r="D862" s="4" t="s">
        <v>128</v>
      </c>
      <c r="E862" s="4" t="s">
        <v>6</v>
      </c>
      <c r="F862">
        <f>COUNTIFS($D$2:D862,D862)</f>
        <v>21</v>
      </c>
      <c r="G862" t="str">
        <f t="shared" si="13"/>
        <v>3871G</v>
      </c>
      <c r="H862">
        <v>5.4615410000000004</v>
      </c>
      <c r="I862">
        <v>52.174634599999997</v>
      </c>
      <c r="J862" t="s">
        <v>466</v>
      </c>
      <c r="K862" t="s">
        <v>325</v>
      </c>
      <c r="L862" t="s">
        <v>128</v>
      </c>
      <c r="M862" t="s">
        <v>6</v>
      </c>
    </row>
    <row r="863" spans="1:13" x14ac:dyDescent="0.25">
      <c r="A863" s="3" t="s">
        <v>129</v>
      </c>
      <c r="B863" s="4">
        <v>43</v>
      </c>
      <c r="C863" s="4"/>
      <c r="D863" s="4" t="s">
        <v>128</v>
      </c>
      <c r="E863" s="4" t="s">
        <v>6</v>
      </c>
      <c r="F863">
        <f>COUNTIFS($D$2:D863,D863)</f>
        <v>22</v>
      </c>
      <c r="G863" t="str">
        <f t="shared" si="13"/>
        <v>3871G</v>
      </c>
      <c r="H863">
        <v>5.4615409000000001</v>
      </c>
      <c r="I863">
        <v>52.174580599999999</v>
      </c>
      <c r="J863" t="s">
        <v>466</v>
      </c>
      <c r="K863" t="s">
        <v>326</v>
      </c>
      <c r="L863" t="s">
        <v>128</v>
      </c>
      <c r="M863" t="s">
        <v>6</v>
      </c>
    </row>
    <row r="864" spans="1:13" x14ac:dyDescent="0.25">
      <c r="A864" s="3" t="s">
        <v>129</v>
      </c>
      <c r="B864" s="4">
        <v>45</v>
      </c>
      <c r="C864" s="4"/>
      <c r="D864" s="4" t="s">
        <v>128</v>
      </c>
      <c r="E864" s="4" t="s">
        <v>6</v>
      </c>
      <c r="F864">
        <f>COUNTIFS($D$2:D864,D864)</f>
        <v>23</v>
      </c>
      <c r="G864" t="str">
        <f t="shared" si="13"/>
        <v>3871G</v>
      </c>
      <c r="H864">
        <v>5.4615553999999999</v>
      </c>
      <c r="I864">
        <v>52.174526700000001</v>
      </c>
      <c r="J864" t="s">
        <v>466</v>
      </c>
      <c r="K864" t="s">
        <v>327</v>
      </c>
      <c r="L864" t="s">
        <v>128</v>
      </c>
      <c r="M864" t="s">
        <v>6</v>
      </c>
    </row>
    <row r="865" spans="1:13" x14ac:dyDescent="0.25">
      <c r="A865" s="3" t="s">
        <v>129</v>
      </c>
      <c r="B865" s="4">
        <v>47</v>
      </c>
      <c r="C865" s="4"/>
      <c r="D865" s="4" t="s">
        <v>128</v>
      </c>
      <c r="E865" s="4" t="s">
        <v>6</v>
      </c>
      <c r="F865">
        <f>COUNTIFS($D$2:D865,D865)</f>
        <v>24</v>
      </c>
      <c r="G865" t="str">
        <f t="shared" si="13"/>
        <v>3871G</v>
      </c>
      <c r="H865">
        <v>5.46157</v>
      </c>
      <c r="I865">
        <v>52.174481800000002</v>
      </c>
      <c r="J865" t="s">
        <v>466</v>
      </c>
      <c r="K865" t="s">
        <v>328</v>
      </c>
      <c r="L865" t="s">
        <v>128</v>
      </c>
      <c r="M865" t="s">
        <v>6</v>
      </c>
    </row>
    <row r="866" spans="1:13" x14ac:dyDescent="0.25">
      <c r="A866" s="3" t="s">
        <v>129</v>
      </c>
      <c r="B866" s="4">
        <v>49</v>
      </c>
      <c r="C866" s="4"/>
      <c r="D866" s="4" t="s">
        <v>128</v>
      </c>
      <c r="E866" s="4" t="s">
        <v>6</v>
      </c>
      <c r="F866">
        <f>COUNTIFS($D$2:D866,D866)</f>
        <v>25</v>
      </c>
      <c r="G866" t="str">
        <f t="shared" si="13"/>
        <v>3871G</v>
      </c>
      <c r="H866">
        <v>5.4631343000000001</v>
      </c>
      <c r="I866">
        <v>52.174534700000002</v>
      </c>
      <c r="J866" t="s">
        <v>466</v>
      </c>
      <c r="K866" t="s">
        <v>329</v>
      </c>
      <c r="L866" t="s">
        <v>128</v>
      </c>
      <c r="M866" t="s">
        <v>6</v>
      </c>
    </row>
    <row r="867" spans="1:13" x14ac:dyDescent="0.25">
      <c r="A867" s="3" t="s">
        <v>129</v>
      </c>
      <c r="B867" s="4">
        <v>51</v>
      </c>
      <c r="C867" s="4"/>
      <c r="D867" s="4" t="s">
        <v>128</v>
      </c>
      <c r="E867" s="4" t="s">
        <v>6</v>
      </c>
      <c r="F867">
        <f>COUNTIFS($D$2:D867,D867)</f>
        <v>26</v>
      </c>
      <c r="G867" t="str">
        <f t="shared" si="13"/>
        <v>3871G</v>
      </c>
      <c r="H867">
        <v>5.4631198000000003</v>
      </c>
      <c r="I867">
        <v>52.174597599999998</v>
      </c>
      <c r="J867" t="s">
        <v>466</v>
      </c>
      <c r="K867" t="s">
        <v>331</v>
      </c>
      <c r="L867" t="s">
        <v>128</v>
      </c>
      <c r="M867" t="s">
        <v>6</v>
      </c>
    </row>
    <row r="868" spans="1:13" x14ac:dyDescent="0.25">
      <c r="A868" s="3" t="s">
        <v>129</v>
      </c>
      <c r="B868" s="4">
        <v>53</v>
      </c>
      <c r="C868" s="4"/>
      <c r="D868" s="4" t="s">
        <v>128</v>
      </c>
      <c r="E868" s="4" t="s">
        <v>6</v>
      </c>
      <c r="F868">
        <f>COUNTIFS($D$2:D868,D868)</f>
        <v>27</v>
      </c>
      <c r="G868" t="str">
        <f t="shared" si="13"/>
        <v>3871G</v>
      </c>
      <c r="H868">
        <v>5.4631198999999997</v>
      </c>
      <c r="I868">
        <v>52.174651500000003</v>
      </c>
      <c r="J868" t="s">
        <v>466</v>
      </c>
      <c r="K868" t="s">
        <v>332</v>
      </c>
      <c r="L868" t="s">
        <v>128</v>
      </c>
      <c r="M868" t="s">
        <v>6</v>
      </c>
    </row>
    <row r="869" spans="1:13" x14ac:dyDescent="0.25">
      <c r="A869" s="3" t="s">
        <v>129</v>
      </c>
      <c r="B869" s="4">
        <v>55</v>
      </c>
      <c r="C869" s="4"/>
      <c r="D869" s="4" t="s">
        <v>128</v>
      </c>
      <c r="E869" s="4" t="s">
        <v>6</v>
      </c>
      <c r="F869">
        <f>COUNTIFS($D$2:D869,D869)</f>
        <v>28</v>
      </c>
      <c r="G869" t="str">
        <f t="shared" si="13"/>
        <v>3871G</v>
      </c>
      <c r="H869">
        <v>5.4631052999999996</v>
      </c>
      <c r="I869">
        <v>52.174705500000002</v>
      </c>
      <c r="J869" t="s">
        <v>466</v>
      </c>
      <c r="K869" t="s">
        <v>333</v>
      </c>
      <c r="L869" t="s">
        <v>128</v>
      </c>
      <c r="M869" t="s">
        <v>6</v>
      </c>
    </row>
    <row r="870" spans="1:13" x14ac:dyDescent="0.25">
      <c r="A870" s="3" t="s">
        <v>129</v>
      </c>
      <c r="B870" s="4">
        <v>57</v>
      </c>
      <c r="C870" s="4"/>
      <c r="D870" s="4" t="s">
        <v>128</v>
      </c>
      <c r="E870" s="4" t="s">
        <v>6</v>
      </c>
      <c r="F870">
        <f>COUNTIFS($D$2:D870,D870)</f>
        <v>29</v>
      </c>
      <c r="G870" t="str">
        <f t="shared" si="13"/>
        <v>3871G</v>
      </c>
      <c r="H870">
        <v>5.4631053999999999</v>
      </c>
      <c r="I870">
        <v>52.174759399999999</v>
      </c>
      <c r="J870" t="s">
        <v>466</v>
      </c>
      <c r="K870" t="s">
        <v>334</v>
      </c>
      <c r="L870" t="s">
        <v>128</v>
      </c>
      <c r="M870" t="s">
        <v>6</v>
      </c>
    </row>
    <row r="871" spans="1:13" x14ac:dyDescent="0.25">
      <c r="A871" s="3" t="s">
        <v>129</v>
      </c>
      <c r="B871" s="4">
        <v>59</v>
      </c>
      <c r="C871" s="4"/>
      <c r="D871" s="4" t="s">
        <v>128</v>
      </c>
      <c r="E871" s="4" t="s">
        <v>6</v>
      </c>
      <c r="F871">
        <f>COUNTIFS($D$2:D871,D871)</f>
        <v>30</v>
      </c>
      <c r="G871" t="str">
        <f t="shared" si="13"/>
        <v>3871G</v>
      </c>
      <c r="H871">
        <v>5.4630909000000001</v>
      </c>
      <c r="I871">
        <v>52.174813299999997</v>
      </c>
      <c r="J871" t="s">
        <v>466</v>
      </c>
      <c r="K871" t="s">
        <v>335</v>
      </c>
      <c r="L871" t="s">
        <v>128</v>
      </c>
      <c r="M871" t="s">
        <v>6</v>
      </c>
    </row>
    <row r="872" spans="1:13" x14ac:dyDescent="0.25">
      <c r="A872" s="3" t="s">
        <v>130</v>
      </c>
      <c r="B872" s="4">
        <v>2</v>
      </c>
      <c r="C872" s="4"/>
      <c r="D872" s="4" t="s">
        <v>128</v>
      </c>
      <c r="E872" s="4" t="s">
        <v>6</v>
      </c>
      <c r="F872">
        <f>COUNTIFS($D$2:D872,D872)</f>
        <v>31</v>
      </c>
      <c r="G872" t="str">
        <f t="shared" si="13"/>
        <v>3871G</v>
      </c>
      <c r="H872">
        <v>5.4594934000000004</v>
      </c>
      <c r="I872">
        <v>52.174033700000003</v>
      </c>
      <c r="J872" t="s">
        <v>467</v>
      </c>
      <c r="K872" t="s">
        <v>370</v>
      </c>
      <c r="L872" t="s">
        <v>128</v>
      </c>
      <c r="M872" t="s">
        <v>6</v>
      </c>
    </row>
    <row r="873" spans="1:13" x14ac:dyDescent="0.25">
      <c r="A873" s="3" t="s">
        <v>130</v>
      </c>
      <c r="B873" s="4">
        <v>4</v>
      </c>
      <c r="C873" s="4"/>
      <c r="D873" s="4" t="s">
        <v>128</v>
      </c>
      <c r="E873" s="4" t="s">
        <v>6</v>
      </c>
      <c r="F873">
        <f>COUNTIFS($D$2:D873,D873)</f>
        <v>32</v>
      </c>
      <c r="G873" t="str">
        <f t="shared" si="13"/>
        <v>3871G</v>
      </c>
      <c r="H873">
        <v>5.4595957000000004</v>
      </c>
      <c r="I873">
        <v>52.174033600000001</v>
      </c>
      <c r="J873" t="s">
        <v>467</v>
      </c>
      <c r="K873" t="s">
        <v>260</v>
      </c>
      <c r="L873" t="s">
        <v>128</v>
      </c>
      <c r="M873" t="s">
        <v>6</v>
      </c>
    </row>
    <row r="874" spans="1:13" x14ac:dyDescent="0.25">
      <c r="A874" s="3" t="s">
        <v>130</v>
      </c>
      <c r="B874" s="4">
        <v>6</v>
      </c>
      <c r="C874" s="4"/>
      <c r="D874" s="4" t="s">
        <v>128</v>
      </c>
      <c r="E874" s="4" t="s">
        <v>6</v>
      </c>
      <c r="F874">
        <f>COUNTIFS($D$2:D874,D874)</f>
        <v>33</v>
      </c>
      <c r="G874" t="str">
        <f t="shared" si="13"/>
        <v>3871G</v>
      </c>
      <c r="H874">
        <v>5.4597565000000001</v>
      </c>
      <c r="I874">
        <v>52.174051499999997</v>
      </c>
      <c r="J874" t="s">
        <v>467</v>
      </c>
      <c r="K874" t="s">
        <v>262</v>
      </c>
      <c r="L874" t="s">
        <v>128</v>
      </c>
      <c r="M874" t="s">
        <v>6</v>
      </c>
    </row>
    <row r="875" spans="1:13" x14ac:dyDescent="0.25">
      <c r="A875" s="3" t="s">
        <v>130</v>
      </c>
      <c r="B875" s="4">
        <v>8</v>
      </c>
      <c r="C875" s="4"/>
      <c r="D875" s="4" t="s">
        <v>128</v>
      </c>
      <c r="E875" s="4" t="s">
        <v>6</v>
      </c>
      <c r="F875">
        <f>COUNTIFS($D$2:D875,D875)</f>
        <v>34</v>
      </c>
      <c r="G875" t="str">
        <f t="shared" si="13"/>
        <v>3871G</v>
      </c>
      <c r="H875">
        <v>5.4598734999999996</v>
      </c>
      <c r="I875">
        <v>52.174051400000003</v>
      </c>
      <c r="J875" t="s">
        <v>467</v>
      </c>
      <c r="K875" t="s">
        <v>263</v>
      </c>
      <c r="L875" t="s">
        <v>128</v>
      </c>
      <c r="M875" t="s">
        <v>6</v>
      </c>
    </row>
    <row r="876" spans="1:13" x14ac:dyDescent="0.25">
      <c r="A876" s="3" t="s">
        <v>130</v>
      </c>
      <c r="B876" s="4">
        <v>10</v>
      </c>
      <c r="C876" s="4"/>
      <c r="D876" s="4" t="s">
        <v>128</v>
      </c>
      <c r="E876" s="4" t="s">
        <v>6</v>
      </c>
      <c r="F876">
        <f>COUNTIFS($D$2:D876,D876)</f>
        <v>35</v>
      </c>
      <c r="G876" t="str">
        <f t="shared" si="13"/>
        <v>3871G</v>
      </c>
      <c r="H876">
        <v>5.4605459999999999</v>
      </c>
      <c r="I876">
        <v>52.174086899999999</v>
      </c>
      <c r="J876" t="s">
        <v>467</v>
      </c>
      <c r="K876" t="s">
        <v>264</v>
      </c>
      <c r="L876" t="s">
        <v>128</v>
      </c>
      <c r="M876" t="s">
        <v>6</v>
      </c>
    </row>
    <row r="877" spans="1:13" x14ac:dyDescent="0.25">
      <c r="A877" s="3" t="s">
        <v>130</v>
      </c>
      <c r="B877" s="4">
        <v>12</v>
      </c>
      <c r="C877" s="4"/>
      <c r="D877" s="4" t="s">
        <v>128</v>
      </c>
      <c r="E877" s="4" t="s">
        <v>6</v>
      </c>
      <c r="F877">
        <f>COUNTIFS($D$2:D877,D877)</f>
        <v>36</v>
      </c>
      <c r="G877" t="str">
        <f t="shared" si="13"/>
        <v>3871G</v>
      </c>
      <c r="H877">
        <v>5.4606922000000004</v>
      </c>
      <c r="I877">
        <v>52.174086799999998</v>
      </c>
      <c r="J877" t="s">
        <v>467</v>
      </c>
      <c r="K877" t="s">
        <v>265</v>
      </c>
      <c r="L877" t="s">
        <v>128</v>
      </c>
      <c r="M877" t="s">
        <v>6</v>
      </c>
    </row>
    <row r="878" spans="1:13" x14ac:dyDescent="0.25">
      <c r="A878" s="3" t="s">
        <v>130</v>
      </c>
      <c r="B878" s="4">
        <v>14</v>
      </c>
      <c r="C878" s="4"/>
      <c r="D878" s="4" t="s">
        <v>128</v>
      </c>
      <c r="E878" s="4" t="s">
        <v>6</v>
      </c>
      <c r="F878">
        <f>COUNTIFS($D$2:D878,D878)</f>
        <v>37</v>
      </c>
      <c r="G878" t="str">
        <f t="shared" si="13"/>
        <v>3871G</v>
      </c>
      <c r="H878">
        <v>5.4608822000000004</v>
      </c>
      <c r="I878">
        <v>52.174086699999997</v>
      </c>
      <c r="J878" t="s">
        <v>467</v>
      </c>
      <c r="K878" t="s">
        <v>266</v>
      </c>
      <c r="L878" t="s">
        <v>128</v>
      </c>
      <c r="M878" t="s">
        <v>6</v>
      </c>
    </row>
    <row r="879" spans="1:13" x14ac:dyDescent="0.25">
      <c r="A879" s="3" t="s">
        <v>130</v>
      </c>
      <c r="B879" s="4">
        <v>16</v>
      </c>
      <c r="C879" s="4"/>
      <c r="D879" s="4" t="s">
        <v>128</v>
      </c>
      <c r="E879" s="4" t="s">
        <v>6</v>
      </c>
      <c r="F879">
        <f>COUNTIFS($D$2:D879,D879)</f>
        <v>38</v>
      </c>
      <c r="G879" t="str">
        <f t="shared" si="13"/>
        <v>3871G</v>
      </c>
      <c r="H879">
        <v>5.4616278999999999</v>
      </c>
      <c r="I879">
        <v>52.174131199999998</v>
      </c>
      <c r="J879" t="s">
        <v>467</v>
      </c>
      <c r="K879" t="s">
        <v>371</v>
      </c>
      <c r="L879" t="s">
        <v>128</v>
      </c>
      <c r="M879" t="s">
        <v>6</v>
      </c>
    </row>
    <row r="880" spans="1:13" x14ac:dyDescent="0.25">
      <c r="A880" s="3" t="s">
        <v>130</v>
      </c>
      <c r="B880" s="4">
        <v>18</v>
      </c>
      <c r="C880" s="4"/>
      <c r="D880" s="4" t="s">
        <v>128</v>
      </c>
      <c r="E880" s="4" t="s">
        <v>6</v>
      </c>
      <c r="F880">
        <f>COUNTIFS($D$2:D880,D880)</f>
        <v>39</v>
      </c>
      <c r="G880" t="str">
        <f t="shared" si="13"/>
        <v>3871G</v>
      </c>
      <c r="H880">
        <v>5.4617448</v>
      </c>
      <c r="I880">
        <v>52.174140100000002</v>
      </c>
      <c r="J880" t="s">
        <v>467</v>
      </c>
      <c r="K880" t="s">
        <v>267</v>
      </c>
      <c r="L880" t="s">
        <v>128</v>
      </c>
      <c r="M880" t="s">
        <v>6</v>
      </c>
    </row>
    <row r="881" spans="1:13" x14ac:dyDescent="0.25">
      <c r="A881" s="3" t="s">
        <v>130</v>
      </c>
      <c r="B881" s="4">
        <v>20</v>
      </c>
      <c r="C881" s="4"/>
      <c r="D881" s="4" t="s">
        <v>128</v>
      </c>
      <c r="E881" s="4" t="s">
        <v>6</v>
      </c>
      <c r="F881">
        <f>COUNTIFS($D$2:D881,D881)</f>
        <v>40</v>
      </c>
      <c r="G881" t="str">
        <f t="shared" si="13"/>
        <v>3871G</v>
      </c>
      <c r="H881">
        <v>5.4618764000000004</v>
      </c>
      <c r="I881">
        <v>52.174140000000001</v>
      </c>
      <c r="J881" t="s">
        <v>467</v>
      </c>
      <c r="K881" t="s">
        <v>372</v>
      </c>
      <c r="L881" t="s">
        <v>128</v>
      </c>
      <c r="M881" t="s">
        <v>6</v>
      </c>
    </row>
    <row r="882" spans="1:13" x14ac:dyDescent="0.25">
      <c r="A882" s="3" t="s">
        <v>130</v>
      </c>
      <c r="B882" s="4">
        <v>22</v>
      </c>
      <c r="C882" s="4"/>
      <c r="D882" s="4" t="s">
        <v>128</v>
      </c>
      <c r="E882" s="4" t="s">
        <v>6</v>
      </c>
      <c r="F882">
        <f>COUNTIFS($D$2:D882,D882)</f>
        <v>41</v>
      </c>
      <c r="G882" t="str">
        <f t="shared" si="13"/>
        <v>3871G</v>
      </c>
      <c r="H882">
        <v>5.4619932999999996</v>
      </c>
      <c r="I882">
        <v>52.174140000000001</v>
      </c>
      <c r="J882" t="s">
        <v>467</v>
      </c>
      <c r="K882" t="s">
        <v>269</v>
      </c>
      <c r="L882" t="s">
        <v>128</v>
      </c>
      <c r="M882" t="s">
        <v>6</v>
      </c>
    </row>
    <row r="883" spans="1:13" x14ac:dyDescent="0.25">
      <c r="A883" s="3" t="s">
        <v>130</v>
      </c>
      <c r="B883" s="4">
        <v>32</v>
      </c>
      <c r="C883" s="4"/>
      <c r="D883" s="4" t="s">
        <v>128</v>
      </c>
      <c r="E883" s="4" t="s">
        <v>6</v>
      </c>
      <c r="F883">
        <f>COUNTIFS($D$2:D883,D883)</f>
        <v>42</v>
      </c>
      <c r="G883" t="str">
        <f t="shared" si="13"/>
        <v>3871G</v>
      </c>
      <c r="H883">
        <v>5.4631337999999996</v>
      </c>
      <c r="I883">
        <v>52.1742651</v>
      </c>
      <c r="J883" t="s">
        <v>467</v>
      </c>
      <c r="K883" t="s">
        <v>273</v>
      </c>
      <c r="L883" t="s">
        <v>128</v>
      </c>
      <c r="M883" t="s">
        <v>6</v>
      </c>
    </row>
    <row r="884" spans="1:13" x14ac:dyDescent="0.25">
      <c r="A884" s="3" t="s">
        <v>130</v>
      </c>
      <c r="B884" s="4">
        <v>36</v>
      </c>
      <c r="C884" s="4"/>
      <c r="D884" s="4" t="s">
        <v>128</v>
      </c>
      <c r="E884" s="4" t="s">
        <v>6</v>
      </c>
      <c r="F884">
        <f>COUNTIFS($D$2:D884,D884)</f>
        <v>43</v>
      </c>
      <c r="G884" t="str">
        <f t="shared" si="13"/>
        <v>3871G</v>
      </c>
      <c r="H884">
        <v>5.4635724999999997</v>
      </c>
      <c r="I884">
        <v>52.174318700000001</v>
      </c>
      <c r="J884" t="s">
        <v>467</v>
      </c>
      <c r="K884" t="s">
        <v>275</v>
      </c>
      <c r="L884" t="s">
        <v>128</v>
      </c>
      <c r="M884" t="s">
        <v>6</v>
      </c>
    </row>
    <row r="885" spans="1:13" x14ac:dyDescent="0.25">
      <c r="A885" s="3" t="s">
        <v>130</v>
      </c>
      <c r="B885" s="4">
        <v>38</v>
      </c>
      <c r="C885" s="4"/>
      <c r="D885" s="4" t="s">
        <v>128</v>
      </c>
      <c r="E885" s="4" t="s">
        <v>6</v>
      </c>
      <c r="F885">
        <f>COUNTIFS($D$2:D885,D885)</f>
        <v>44</v>
      </c>
      <c r="G885" t="str">
        <f t="shared" si="13"/>
        <v>3871G</v>
      </c>
      <c r="H885">
        <v>5.4635726</v>
      </c>
      <c r="I885">
        <v>52.174372599999998</v>
      </c>
      <c r="J885" t="s">
        <v>467</v>
      </c>
      <c r="K885" t="s">
        <v>374</v>
      </c>
      <c r="L885" t="s">
        <v>128</v>
      </c>
      <c r="M885" t="s">
        <v>6</v>
      </c>
    </row>
    <row r="886" spans="1:13" x14ac:dyDescent="0.25">
      <c r="A886" s="3" t="s">
        <v>130</v>
      </c>
      <c r="B886" s="4">
        <v>40</v>
      </c>
      <c r="C886" s="4"/>
      <c r="D886" s="4" t="s">
        <v>128</v>
      </c>
      <c r="E886" s="4" t="s">
        <v>6</v>
      </c>
      <c r="F886">
        <f>COUNTIFS($D$2:D886,D886)</f>
        <v>45</v>
      </c>
      <c r="G886" t="str">
        <f t="shared" si="13"/>
        <v>3871G</v>
      </c>
      <c r="H886">
        <v>5.4635579999999999</v>
      </c>
      <c r="I886">
        <v>52.174426599999997</v>
      </c>
      <c r="J886" t="s">
        <v>467</v>
      </c>
      <c r="K886" t="s">
        <v>276</v>
      </c>
      <c r="L886" t="s">
        <v>128</v>
      </c>
      <c r="M886" t="s">
        <v>6</v>
      </c>
    </row>
    <row r="887" spans="1:13" x14ac:dyDescent="0.25">
      <c r="A887" s="3" t="s">
        <v>130</v>
      </c>
      <c r="B887" s="4">
        <v>42</v>
      </c>
      <c r="C887" s="4"/>
      <c r="D887" s="4" t="s">
        <v>128</v>
      </c>
      <c r="E887" s="4" t="s">
        <v>6</v>
      </c>
      <c r="F887">
        <f>COUNTIFS($D$2:D887,D887)</f>
        <v>46</v>
      </c>
      <c r="G887" t="str">
        <f t="shared" si="13"/>
        <v>3871G</v>
      </c>
      <c r="H887">
        <v>5.4635581000000002</v>
      </c>
      <c r="I887">
        <v>52.174480500000001</v>
      </c>
      <c r="J887" t="s">
        <v>467</v>
      </c>
      <c r="K887" t="s">
        <v>376</v>
      </c>
      <c r="L887" t="s">
        <v>128</v>
      </c>
      <c r="M887" t="s">
        <v>6</v>
      </c>
    </row>
    <row r="888" spans="1:13" x14ac:dyDescent="0.25">
      <c r="A888" s="3" t="s">
        <v>130</v>
      </c>
      <c r="B888" s="4">
        <v>44</v>
      </c>
      <c r="C888" s="4"/>
      <c r="D888" s="4" t="s">
        <v>128</v>
      </c>
      <c r="E888" s="4" t="s">
        <v>6</v>
      </c>
      <c r="F888">
        <f>COUNTIFS($D$2:D888,D888)</f>
        <v>47</v>
      </c>
      <c r="G888" t="str">
        <f t="shared" si="13"/>
        <v>3871G</v>
      </c>
      <c r="H888">
        <v>5.4635436000000004</v>
      </c>
      <c r="I888">
        <v>52.174543399999997</v>
      </c>
      <c r="J888" t="s">
        <v>467</v>
      </c>
      <c r="K888" t="s">
        <v>377</v>
      </c>
      <c r="L888" t="s">
        <v>128</v>
      </c>
      <c r="M888" t="s">
        <v>6</v>
      </c>
    </row>
    <row r="889" spans="1:13" x14ac:dyDescent="0.25">
      <c r="A889" s="3" t="s">
        <v>131</v>
      </c>
      <c r="B889" s="4">
        <v>1</v>
      </c>
      <c r="C889" s="4"/>
      <c r="D889" s="4" t="s">
        <v>132</v>
      </c>
      <c r="E889" s="4" t="s">
        <v>6</v>
      </c>
      <c r="F889">
        <f>COUNTIFS($D$2:D889,D889)</f>
        <v>1</v>
      </c>
      <c r="G889" t="str">
        <f t="shared" si="13"/>
        <v>3871G</v>
      </c>
      <c r="H889">
        <v>5.4612477999999998</v>
      </c>
      <c r="I889">
        <v>52.1741314</v>
      </c>
      <c r="J889" t="s">
        <v>468</v>
      </c>
      <c r="K889" t="s">
        <v>355</v>
      </c>
      <c r="L889" t="s">
        <v>132</v>
      </c>
      <c r="M889" t="s">
        <v>6</v>
      </c>
    </row>
    <row r="890" spans="1:13" x14ac:dyDescent="0.25">
      <c r="A890" s="3" t="s">
        <v>131</v>
      </c>
      <c r="B890" s="4">
        <v>3</v>
      </c>
      <c r="C890" s="4"/>
      <c r="D890" s="4" t="s">
        <v>132</v>
      </c>
      <c r="E890" s="4" t="s">
        <v>6</v>
      </c>
      <c r="F890">
        <f>COUNTIFS($D$2:D890,D890)</f>
        <v>2</v>
      </c>
      <c r="G890" t="str">
        <f t="shared" si="13"/>
        <v>3871G</v>
      </c>
      <c r="H890">
        <v>5.4612476000000001</v>
      </c>
      <c r="I890">
        <v>52.174023599999998</v>
      </c>
      <c r="J890" t="s">
        <v>468</v>
      </c>
      <c r="K890" t="s">
        <v>356</v>
      </c>
      <c r="L890" t="s">
        <v>132</v>
      </c>
      <c r="M890" t="s">
        <v>6</v>
      </c>
    </row>
    <row r="891" spans="1:13" x14ac:dyDescent="0.25">
      <c r="A891" s="3" t="s">
        <v>131</v>
      </c>
      <c r="B891" s="4">
        <v>5</v>
      </c>
      <c r="C891" s="4"/>
      <c r="D891" s="4" t="s">
        <v>132</v>
      </c>
      <c r="E891" s="4" t="s">
        <v>6</v>
      </c>
      <c r="F891">
        <f>COUNTIFS($D$2:D891,D891)</f>
        <v>3</v>
      </c>
      <c r="G891" t="str">
        <f t="shared" si="13"/>
        <v>3871G</v>
      </c>
      <c r="H891">
        <v>5.4612619999999996</v>
      </c>
      <c r="I891">
        <v>52.173915700000002</v>
      </c>
      <c r="J891" t="s">
        <v>468</v>
      </c>
      <c r="K891" t="s">
        <v>357</v>
      </c>
      <c r="L891" t="s">
        <v>132</v>
      </c>
      <c r="M891" t="s">
        <v>6</v>
      </c>
    </row>
    <row r="892" spans="1:13" x14ac:dyDescent="0.25">
      <c r="A892" s="3" t="s">
        <v>131</v>
      </c>
      <c r="B892" s="4">
        <v>7</v>
      </c>
      <c r="C892" s="4"/>
      <c r="D892" s="4" t="s">
        <v>132</v>
      </c>
      <c r="E892" s="4" t="s">
        <v>6</v>
      </c>
      <c r="F892">
        <f>COUNTIFS($D$2:D892,D892)</f>
        <v>4</v>
      </c>
      <c r="G892" t="str">
        <f t="shared" si="13"/>
        <v>3871G</v>
      </c>
      <c r="H892">
        <v>5.4612911000000004</v>
      </c>
      <c r="I892">
        <v>52.173798900000001</v>
      </c>
      <c r="J892" t="s">
        <v>468</v>
      </c>
      <c r="K892" t="s">
        <v>358</v>
      </c>
      <c r="L892" t="s">
        <v>132</v>
      </c>
      <c r="M892" t="s">
        <v>6</v>
      </c>
    </row>
    <row r="893" spans="1:13" x14ac:dyDescent="0.25">
      <c r="A893" s="3" t="s">
        <v>131</v>
      </c>
      <c r="B893" s="4">
        <v>9</v>
      </c>
      <c r="C893" s="4"/>
      <c r="D893" s="4" t="s">
        <v>132</v>
      </c>
      <c r="E893" s="4" t="s">
        <v>6</v>
      </c>
      <c r="F893">
        <f>COUNTIFS($D$2:D893,D893)</f>
        <v>5</v>
      </c>
      <c r="G893" t="str">
        <f t="shared" si="13"/>
        <v>3871G</v>
      </c>
      <c r="H893">
        <v>5.4612178</v>
      </c>
      <c r="I893">
        <v>52.173682100000001</v>
      </c>
      <c r="J893" t="s">
        <v>468</v>
      </c>
      <c r="K893" t="s">
        <v>382</v>
      </c>
      <c r="L893" t="s">
        <v>132</v>
      </c>
      <c r="M893" t="s">
        <v>6</v>
      </c>
    </row>
    <row r="894" spans="1:13" x14ac:dyDescent="0.25">
      <c r="A894" s="3" t="s">
        <v>133</v>
      </c>
      <c r="B894" s="4">
        <v>5</v>
      </c>
      <c r="C894" s="4"/>
      <c r="D894" s="4" t="s">
        <v>134</v>
      </c>
      <c r="E894" s="4" t="s">
        <v>6</v>
      </c>
      <c r="F894">
        <f>COUNTIFS($D$2:D894,D894)</f>
        <v>1</v>
      </c>
      <c r="G894" t="str">
        <f t="shared" si="13"/>
        <v>3871G</v>
      </c>
      <c r="H894">
        <v>5.4616360999999998</v>
      </c>
      <c r="I894">
        <v>52.173383600000001</v>
      </c>
      <c r="J894" t="s">
        <v>469</v>
      </c>
      <c r="K894" t="s">
        <v>357</v>
      </c>
      <c r="L894" t="s">
        <v>134</v>
      </c>
      <c r="M894" t="s">
        <v>6</v>
      </c>
    </row>
    <row r="895" spans="1:13" x14ac:dyDescent="0.25">
      <c r="A895" s="3" t="s">
        <v>133</v>
      </c>
      <c r="B895" s="4">
        <v>8</v>
      </c>
      <c r="C895" s="4"/>
      <c r="D895" s="4" t="s">
        <v>134</v>
      </c>
      <c r="E895" s="4" t="s">
        <v>6</v>
      </c>
      <c r="F895">
        <f>COUNTIFS($D$2:D895,D895)</f>
        <v>2</v>
      </c>
      <c r="G895" t="str">
        <f t="shared" si="13"/>
        <v>3871G</v>
      </c>
      <c r="H895">
        <v>5.4610855000000003</v>
      </c>
      <c r="I895">
        <v>52.173223800000002</v>
      </c>
      <c r="J895" t="s">
        <v>469</v>
      </c>
      <c r="K895" t="s">
        <v>263</v>
      </c>
      <c r="L895" t="s">
        <v>134</v>
      </c>
      <c r="M895" t="s">
        <v>6</v>
      </c>
    </row>
    <row r="896" spans="1:13" x14ac:dyDescent="0.25">
      <c r="A896" s="3" t="s">
        <v>133</v>
      </c>
      <c r="B896" s="4">
        <v>10</v>
      </c>
      <c r="C896" s="4"/>
      <c r="D896" s="4" t="s">
        <v>134</v>
      </c>
      <c r="E896" s="4" t="s">
        <v>6</v>
      </c>
      <c r="F896">
        <f>COUNTIFS($D$2:D896,D896)</f>
        <v>3</v>
      </c>
      <c r="G896" t="str">
        <f t="shared" si="13"/>
        <v>3871G</v>
      </c>
      <c r="H896">
        <v>5.4611146000000002</v>
      </c>
      <c r="I896">
        <v>52.173142900000002</v>
      </c>
      <c r="J896" t="s">
        <v>469</v>
      </c>
      <c r="K896" t="s">
        <v>264</v>
      </c>
      <c r="L896" t="s">
        <v>134</v>
      </c>
      <c r="M896" t="s">
        <v>6</v>
      </c>
    </row>
    <row r="897" spans="1:13" x14ac:dyDescent="0.25">
      <c r="A897" s="3" t="s">
        <v>133</v>
      </c>
      <c r="B897" s="4">
        <v>12</v>
      </c>
      <c r="C897" s="4"/>
      <c r="D897" s="4" t="s">
        <v>134</v>
      </c>
      <c r="E897" s="4" t="s">
        <v>6</v>
      </c>
      <c r="F897">
        <f>COUNTIFS($D$2:D897,D897)</f>
        <v>4</v>
      </c>
      <c r="G897" t="str">
        <f t="shared" si="13"/>
        <v>3871G</v>
      </c>
      <c r="H897">
        <v>5.4611143999999996</v>
      </c>
      <c r="I897">
        <v>52.173079899999998</v>
      </c>
      <c r="J897" t="s">
        <v>469</v>
      </c>
      <c r="K897" t="s">
        <v>265</v>
      </c>
      <c r="L897" t="s">
        <v>134</v>
      </c>
      <c r="M897" t="s">
        <v>6</v>
      </c>
    </row>
    <row r="898" spans="1:13" x14ac:dyDescent="0.25">
      <c r="A898" s="3" t="s">
        <v>133</v>
      </c>
      <c r="B898" s="4">
        <v>14</v>
      </c>
      <c r="C898" s="4"/>
      <c r="D898" s="4" t="s">
        <v>134</v>
      </c>
      <c r="E898" s="4" t="s">
        <v>6</v>
      </c>
      <c r="F898">
        <f>COUNTIFS($D$2:D898,D898)</f>
        <v>5</v>
      </c>
      <c r="G898" t="str">
        <f t="shared" ref="G898:G961" si="14">LEFT(A898,5)</f>
        <v>3871G</v>
      </c>
      <c r="H898">
        <v>5.4611289000000003</v>
      </c>
      <c r="I898">
        <v>52.172972100000003</v>
      </c>
      <c r="J898" t="s">
        <v>469</v>
      </c>
      <c r="K898" t="s">
        <v>266</v>
      </c>
      <c r="L898" t="s">
        <v>134</v>
      </c>
      <c r="M898" t="s">
        <v>6</v>
      </c>
    </row>
    <row r="899" spans="1:13" x14ac:dyDescent="0.25">
      <c r="A899" s="3" t="s">
        <v>133</v>
      </c>
      <c r="B899" s="4">
        <v>16</v>
      </c>
      <c r="C899" s="4"/>
      <c r="D899" s="4" t="s">
        <v>134</v>
      </c>
      <c r="E899" s="4" t="s">
        <v>6</v>
      </c>
      <c r="F899">
        <f>COUNTIFS($D$2:D899,D899)</f>
        <v>6</v>
      </c>
      <c r="G899" t="str">
        <f t="shared" si="14"/>
        <v>3871G</v>
      </c>
      <c r="H899">
        <v>5.4611141999999999</v>
      </c>
      <c r="I899">
        <v>52.172909199999999</v>
      </c>
      <c r="J899" t="s">
        <v>469</v>
      </c>
      <c r="K899" t="s">
        <v>371</v>
      </c>
      <c r="L899" t="s">
        <v>134</v>
      </c>
      <c r="M899" t="s">
        <v>6</v>
      </c>
    </row>
    <row r="900" spans="1:13" x14ac:dyDescent="0.25">
      <c r="A900" s="3" t="s">
        <v>135</v>
      </c>
      <c r="B900" s="4">
        <v>1</v>
      </c>
      <c r="C900" s="4"/>
      <c r="D900" s="4" t="s">
        <v>136</v>
      </c>
      <c r="E900" s="4" t="s">
        <v>6</v>
      </c>
      <c r="F900">
        <f>COUNTIFS($D$2:D900,D900)</f>
        <v>1</v>
      </c>
      <c r="G900" t="str">
        <f t="shared" si="14"/>
        <v>3871H</v>
      </c>
      <c r="H900">
        <v>5.4566581999999997</v>
      </c>
      <c r="I900">
        <v>52.174601600000003</v>
      </c>
      <c r="J900" t="s">
        <v>470</v>
      </c>
      <c r="K900" t="s">
        <v>355</v>
      </c>
      <c r="L900" t="s">
        <v>136</v>
      </c>
      <c r="M900" t="s">
        <v>6</v>
      </c>
    </row>
    <row r="901" spans="1:13" x14ac:dyDescent="0.25">
      <c r="A901" s="3" t="s">
        <v>135</v>
      </c>
      <c r="B901" s="4">
        <v>3</v>
      </c>
      <c r="C901" s="4"/>
      <c r="D901" s="4" t="s">
        <v>136</v>
      </c>
      <c r="E901" s="4" t="s">
        <v>6</v>
      </c>
      <c r="F901">
        <f>COUNTIFS($D$2:D901,D901)</f>
        <v>2</v>
      </c>
      <c r="G901" t="str">
        <f t="shared" si="14"/>
        <v>3871H</v>
      </c>
      <c r="H901">
        <v>5.4561460999999998</v>
      </c>
      <c r="I901">
        <v>52.174332300000003</v>
      </c>
      <c r="J901" t="s">
        <v>470</v>
      </c>
      <c r="K901" t="s">
        <v>356</v>
      </c>
      <c r="L901" t="s">
        <v>136</v>
      </c>
      <c r="M901" t="s">
        <v>6</v>
      </c>
    </row>
    <row r="902" spans="1:13" x14ac:dyDescent="0.25">
      <c r="A902" s="3" t="s">
        <v>135</v>
      </c>
      <c r="B902" s="4">
        <v>5</v>
      </c>
      <c r="C902" s="4"/>
      <c r="D902" s="4" t="s">
        <v>136</v>
      </c>
      <c r="E902" s="4" t="s">
        <v>6</v>
      </c>
      <c r="F902">
        <f>COUNTIFS($D$2:D902,D902)</f>
        <v>3</v>
      </c>
      <c r="G902" t="str">
        <f t="shared" si="14"/>
        <v>3871H</v>
      </c>
      <c r="H902">
        <v>5.4560291999999997</v>
      </c>
      <c r="I902">
        <v>52.174332300000003</v>
      </c>
      <c r="J902" t="s">
        <v>470</v>
      </c>
      <c r="K902" t="s">
        <v>357</v>
      </c>
      <c r="L902" t="s">
        <v>136</v>
      </c>
      <c r="M902" t="s">
        <v>6</v>
      </c>
    </row>
    <row r="903" spans="1:13" x14ac:dyDescent="0.25">
      <c r="A903" s="3" t="s">
        <v>135</v>
      </c>
      <c r="B903" s="4">
        <v>7</v>
      </c>
      <c r="C903" s="4"/>
      <c r="D903" s="4" t="s">
        <v>136</v>
      </c>
      <c r="E903" s="4" t="s">
        <v>6</v>
      </c>
      <c r="F903">
        <f>COUNTIFS($D$2:D903,D903)</f>
        <v>4</v>
      </c>
      <c r="G903" t="str">
        <f t="shared" si="14"/>
        <v>3871H</v>
      </c>
      <c r="H903">
        <v>5.4558391000000004</v>
      </c>
      <c r="I903">
        <v>52.1743235</v>
      </c>
      <c r="J903" t="s">
        <v>470</v>
      </c>
      <c r="K903" t="s">
        <v>358</v>
      </c>
      <c r="L903" t="s">
        <v>136</v>
      </c>
      <c r="M903" t="s">
        <v>6</v>
      </c>
    </row>
    <row r="904" spans="1:13" x14ac:dyDescent="0.25">
      <c r="A904" s="3" t="s">
        <v>135</v>
      </c>
      <c r="B904" s="4">
        <v>9</v>
      </c>
      <c r="C904" s="4"/>
      <c r="D904" s="4" t="s">
        <v>136</v>
      </c>
      <c r="E904" s="4" t="s">
        <v>6</v>
      </c>
      <c r="F904">
        <f>COUNTIFS($D$2:D904,D904)</f>
        <v>5</v>
      </c>
      <c r="G904" t="str">
        <f t="shared" si="14"/>
        <v>3871H</v>
      </c>
      <c r="H904">
        <v>5.4557513999999996</v>
      </c>
      <c r="I904">
        <v>52.174314500000001</v>
      </c>
      <c r="J904" t="s">
        <v>470</v>
      </c>
      <c r="K904" t="s">
        <v>382</v>
      </c>
      <c r="L904" t="s">
        <v>136</v>
      </c>
      <c r="M904" t="s">
        <v>6</v>
      </c>
    </row>
    <row r="905" spans="1:13" x14ac:dyDescent="0.25">
      <c r="A905" s="3" t="s">
        <v>135</v>
      </c>
      <c r="B905" s="4">
        <v>11</v>
      </c>
      <c r="C905" s="4"/>
      <c r="D905" s="4" t="s">
        <v>136</v>
      </c>
      <c r="E905" s="4" t="s">
        <v>6</v>
      </c>
      <c r="F905">
        <f>COUNTIFS($D$2:D905,D905)</f>
        <v>6</v>
      </c>
      <c r="G905" t="str">
        <f t="shared" si="14"/>
        <v>3871H</v>
      </c>
      <c r="H905">
        <v>5.4556582999999996</v>
      </c>
      <c r="I905">
        <v>52.174316099999999</v>
      </c>
      <c r="J905" t="s">
        <v>470</v>
      </c>
      <c r="K905" t="s">
        <v>391</v>
      </c>
      <c r="L905" t="s">
        <v>136</v>
      </c>
      <c r="M905" t="s">
        <v>6</v>
      </c>
    </row>
    <row r="906" spans="1:13" x14ac:dyDescent="0.25">
      <c r="A906" s="3" t="s">
        <v>135</v>
      </c>
      <c r="B906" s="4">
        <v>12</v>
      </c>
      <c r="C906" s="4"/>
      <c r="D906" s="4" t="s">
        <v>136</v>
      </c>
      <c r="E906" s="4" t="s">
        <v>6</v>
      </c>
      <c r="F906">
        <f>COUNTIFS($D$2:D906,D906)</f>
        <v>7</v>
      </c>
      <c r="G906" t="str">
        <f t="shared" si="14"/>
        <v>3871H</v>
      </c>
      <c r="H906">
        <v>5.4554741</v>
      </c>
      <c r="I906">
        <v>52.174638199999997</v>
      </c>
      <c r="J906" t="s">
        <v>470</v>
      </c>
      <c r="K906" t="s">
        <v>265</v>
      </c>
      <c r="L906" t="s">
        <v>136</v>
      </c>
      <c r="M906" t="s">
        <v>6</v>
      </c>
    </row>
    <row r="907" spans="1:13" x14ac:dyDescent="0.25">
      <c r="A907" s="3" t="s">
        <v>135</v>
      </c>
      <c r="B907" s="4">
        <v>13</v>
      </c>
      <c r="C907" s="4"/>
      <c r="D907" s="4" t="s">
        <v>136</v>
      </c>
      <c r="E907" s="4" t="s">
        <v>6</v>
      </c>
      <c r="F907">
        <f>COUNTIFS($D$2:D907,D907)</f>
        <v>8</v>
      </c>
      <c r="G907" t="str">
        <f t="shared" si="14"/>
        <v>3871H</v>
      </c>
      <c r="H907">
        <v>5.4555467000000002</v>
      </c>
      <c r="I907">
        <v>52.174305699999998</v>
      </c>
      <c r="J907" t="s">
        <v>470</v>
      </c>
      <c r="K907" t="s">
        <v>359</v>
      </c>
      <c r="L907" t="s">
        <v>136</v>
      </c>
      <c r="M907" t="s">
        <v>6</v>
      </c>
    </row>
    <row r="908" spans="1:13" x14ac:dyDescent="0.25">
      <c r="A908" s="3" t="s">
        <v>135</v>
      </c>
      <c r="B908" s="4">
        <v>14</v>
      </c>
      <c r="C908" s="4"/>
      <c r="D908" s="4" t="s">
        <v>136</v>
      </c>
      <c r="E908" s="4" t="s">
        <v>6</v>
      </c>
      <c r="F908">
        <f>COUNTIFS($D$2:D908,D908)</f>
        <v>9</v>
      </c>
      <c r="G908" t="str">
        <f t="shared" si="14"/>
        <v>3871H</v>
      </c>
      <c r="H908">
        <v>5.4554010999999996</v>
      </c>
      <c r="I908">
        <v>52.174656300000002</v>
      </c>
      <c r="J908" t="s">
        <v>470</v>
      </c>
      <c r="K908" t="s">
        <v>266</v>
      </c>
      <c r="L908" t="s">
        <v>136</v>
      </c>
      <c r="M908" t="s">
        <v>6</v>
      </c>
    </row>
    <row r="909" spans="1:13" x14ac:dyDescent="0.25">
      <c r="A909" s="3" t="s">
        <v>135</v>
      </c>
      <c r="B909" s="4">
        <v>15</v>
      </c>
      <c r="C909" s="4"/>
      <c r="D909" s="4" t="s">
        <v>136</v>
      </c>
      <c r="E909" s="4" t="s">
        <v>6</v>
      </c>
      <c r="F909">
        <f>COUNTIFS($D$2:D909,D909)</f>
        <v>10</v>
      </c>
      <c r="G909" t="str">
        <f t="shared" si="14"/>
        <v>3871H</v>
      </c>
      <c r="H909">
        <v>5.4547572999999998</v>
      </c>
      <c r="I909">
        <v>52.174306100000003</v>
      </c>
      <c r="J909" t="s">
        <v>470</v>
      </c>
      <c r="K909" t="s">
        <v>383</v>
      </c>
      <c r="L909" t="s">
        <v>136</v>
      </c>
      <c r="M909" t="s">
        <v>6</v>
      </c>
    </row>
    <row r="910" spans="1:13" x14ac:dyDescent="0.25">
      <c r="A910" s="3" t="s">
        <v>135</v>
      </c>
      <c r="B910" s="4">
        <v>16</v>
      </c>
      <c r="C910" s="4"/>
      <c r="D910" s="4" t="s">
        <v>136</v>
      </c>
      <c r="E910" s="4" t="s">
        <v>6</v>
      </c>
      <c r="F910">
        <f>COUNTIFS($D$2:D910,D910)</f>
        <v>11</v>
      </c>
      <c r="G910" t="str">
        <f t="shared" si="14"/>
        <v>3871H</v>
      </c>
      <c r="H910">
        <v>5.4552987000000002</v>
      </c>
      <c r="I910">
        <v>52.174629400000001</v>
      </c>
      <c r="J910" t="s">
        <v>470</v>
      </c>
      <c r="K910" t="s">
        <v>371</v>
      </c>
      <c r="L910" t="s">
        <v>136</v>
      </c>
      <c r="M910" t="s">
        <v>6</v>
      </c>
    </row>
    <row r="911" spans="1:13" x14ac:dyDescent="0.25">
      <c r="A911" s="3" t="s">
        <v>135</v>
      </c>
      <c r="B911" s="4">
        <v>17</v>
      </c>
      <c r="C911" s="4"/>
      <c r="D911" s="4" t="s">
        <v>136</v>
      </c>
      <c r="E911" s="4" t="s">
        <v>6</v>
      </c>
      <c r="F911">
        <f>COUNTIFS($D$2:D911,D911)</f>
        <v>12</v>
      </c>
      <c r="G911" t="str">
        <f t="shared" si="14"/>
        <v>3871H</v>
      </c>
      <c r="H911">
        <v>5.4546695999999999</v>
      </c>
      <c r="I911">
        <v>52.174306199999997</v>
      </c>
      <c r="J911" t="s">
        <v>470</v>
      </c>
      <c r="K911" t="s">
        <v>360</v>
      </c>
      <c r="L911" t="s">
        <v>136</v>
      </c>
      <c r="M911" t="s">
        <v>6</v>
      </c>
    </row>
    <row r="912" spans="1:13" x14ac:dyDescent="0.25">
      <c r="A912" s="3" t="s">
        <v>135</v>
      </c>
      <c r="B912" s="4">
        <v>18</v>
      </c>
      <c r="C912" s="4"/>
      <c r="D912" s="4" t="s">
        <v>136</v>
      </c>
      <c r="E912" s="4" t="s">
        <v>6</v>
      </c>
      <c r="F912">
        <f>COUNTIFS($D$2:D912,D912)</f>
        <v>13</v>
      </c>
      <c r="G912" t="str">
        <f t="shared" si="14"/>
        <v>3871H</v>
      </c>
      <c r="H912">
        <v>5.4551962999999999</v>
      </c>
      <c r="I912">
        <v>52.174629400000001</v>
      </c>
      <c r="J912" t="s">
        <v>470</v>
      </c>
      <c r="K912" t="s">
        <v>267</v>
      </c>
      <c r="L912" t="s">
        <v>136</v>
      </c>
      <c r="M912" t="s">
        <v>6</v>
      </c>
    </row>
    <row r="913" spans="1:13" x14ac:dyDescent="0.25">
      <c r="A913" s="3" t="s">
        <v>135</v>
      </c>
      <c r="B913" s="4">
        <v>20</v>
      </c>
      <c r="C913" s="4"/>
      <c r="D913" s="4" t="s">
        <v>136</v>
      </c>
      <c r="E913" s="4" t="s">
        <v>6</v>
      </c>
      <c r="F913">
        <f>COUNTIFS($D$2:D913,D913)</f>
        <v>14</v>
      </c>
      <c r="G913" t="str">
        <f t="shared" si="14"/>
        <v>3871H</v>
      </c>
      <c r="H913">
        <v>5.4550209000000001</v>
      </c>
      <c r="I913">
        <v>52.174620500000003</v>
      </c>
      <c r="J913" t="s">
        <v>470</v>
      </c>
      <c r="K913" t="s">
        <v>372</v>
      </c>
      <c r="L913" t="s">
        <v>136</v>
      </c>
      <c r="M913" t="s">
        <v>6</v>
      </c>
    </row>
    <row r="914" spans="1:13" x14ac:dyDescent="0.25">
      <c r="A914" s="3" t="s">
        <v>135</v>
      </c>
      <c r="B914" s="4">
        <v>22</v>
      </c>
      <c r="C914" s="4"/>
      <c r="D914" s="4" t="s">
        <v>136</v>
      </c>
      <c r="E914" s="4" t="s">
        <v>6</v>
      </c>
      <c r="F914">
        <f>COUNTIFS($D$2:D914,D914)</f>
        <v>15</v>
      </c>
      <c r="G914" t="str">
        <f t="shared" si="14"/>
        <v>3871H</v>
      </c>
      <c r="H914">
        <v>5.4549186000000001</v>
      </c>
      <c r="I914">
        <v>52.174629600000003</v>
      </c>
      <c r="J914" t="s">
        <v>470</v>
      </c>
      <c r="K914" t="s">
        <v>269</v>
      </c>
      <c r="L914" t="s">
        <v>136</v>
      </c>
      <c r="M914" t="s">
        <v>6</v>
      </c>
    </row>
    <row r="915" spans="1:13" x14ac:dyDescent="0.25">
      <c r="A915" s="3" t="s">
        <v>135</v>
      </c>
      <c r="B915" s="4">
        <v>24</v>
      </c>
      <c r="C915" s="4"/>
      <c r="D915" s="4" t="s">
        <v>136</v>
      </c>
      <c r="E915" s="4" t="s">
        <v>6</v>
      </c>
      <c r="F915">
        <f>COUNTIFS($D$2:D915,D915)</f>
        <v>16</v>
      </c>
      <c r="G915" t="str">
        <f t="shared" si="14"/>
        <v>3871H</v>
      </c>
      <c r="H915">
        <v>5.4548455000000002</v>
      </c>
      <c r="I915">
        <v>52.174629600000003</v>
      </c>
      <c r="J915" t="s">
        <v>470</v>
      </c>
      <c r="K915" t="s">
        <v>270</v>
      </c>
      <c r="L915" t="s">
        <v>136</v>
      </c>
      <c r="M915" t="s">
        <v>6</v>
      </c>
    </row>
    <row r="916" spans="1:13" x14ac:dyDescent="0.25">
      <c r="A916" s="3" t="s">
        <v>135</v>
      </c>
      <c r="B916" s="4">
        <v>26</v>
      </c>
      <c r="C916" s="4"/>
      <c r="D916" s="4" t="s">
        <v>136</v>
      </c>
      <c r="E916" s="4" t="s">
        <v>6</v>
      </c>
      <c r="F916">
        <f>COUNTIFS($D$2:D916,D916)</f>
        <v>17</v>
      </c>
      <c r="G916" t="str">
        <f t="shared" si="14"/>
        <v>3871H</v>
      </c>
      <c r="H916">
        <v>5.4547284999999999</v>
      </c>
      <c r="I916">
        <v>52.1746117</v>
      </c>
      <c r="J916" t="s">
        <v>470</v>
      </c>
      <c r="K916" t="s">
        <v>271</v>
      </c>
      <c r="L916" t="s">
        <v>136</v>
      </c>
      <c r="M916" t="s">
        <v>6</v>
      </c>
    </row>
    <row r="917" spans="1:13" x14ac:dyDescent="0.25">
      <c r="A917" s="3" t="s">
        <v>135</v>
      </c>
      <c r="B917" s="4">
        <v>28</v>
      </c>
      <c r="C917" s="4"/>
      <c r="D917" s="4" t="s">
        <v>136</v>
      </c>
      <c r="E917" s="4" t="s">
        <v>6</v>
      </c>
      <c r="F917">
        <f>COUNTIFS($D$2:D917,D917)</f>
        <v>18</v>
      </c>
      <c r="G917" t="str">
        <f t="shared" si="14"/>
        <v>3871H</v>
      </c>
      <c r="H917">
        <v>5.4545385</v>
      </c>
      <c r="I917">
        <v>52.174602800000002</v>
      </c>
      <c r="J917" t="s">
        <v>470</v>
      </c>
      <c r="K917" t="s">
        <v>272</v>
      </c>
      <c r="L917" t="s">
        <v>136</v>
      </c>
      <c r="M917" t="s">
        <v>6</v>
      </c>
    </row>
    <row r="918" spans="1:13" x14ac:dyDescent="0.25">
      <c r="A918" s="3" t="s">
        <v>135</v>
      </c>
      <c r="B918" s="4">
        <v>30</v>
      </c>
      <c r="C918" s="4"/>
      <c r="D918" s="4" t="s">
        <v>136</v>
      </c>
      <c r="E918" s="4" t="s">
        <v>6</v>
      </c>
      <c r="F918">
        <f>COUNTIFS($D$2:D918,D918)</f>
        <v>19</v>
      </c>
      <c r="G918" t="str">
        <f t="shared" si="14"/>
        <v>3871H</v>
      </c>
      <c r="H918">
        <v>5.4544214999999996</v>
      </c>
      <c r="I918">
        <v>52.174602899999996</v>
      </c>
      <c r="J918" t="s">
        <v>470</v>
      </c>
      <c r="K918" t="s">
        <v>373</v>
      </c>
      <c r="L918" t="s">
        <v>136</v>
      </c>
      <c r="M918" t="s">
        <v>6</v>
      </c>
    </row>
    <row r="919" spans="1:13" x14ac:dyDescent="0.25">
      <c r="A919" s="3" t="s">
        <v>135</v>
      </c>
      <c r="B919" s="4">
        <v>32</v>
      </c>
      <c r="C919" s="4"/>
      <c r="D919" s="4" t="s">
        <v>136</v>
      </c>
      <c r="E919" s="4" t="s">
        <v>6</v>
      </c>
      <c r="F919">
        <f>COUNTIFS($D$2:D919,D919)</f>
        <v>20</v>
      </c>
      <c r="G919" t="str">
        <f t="shared" si="14"/>
        <v>3871H</v>
      </c>
      <c r="H919">
        <v>5.4542460000000004</v>
      </c>
      <c r="I919">
        <v>52.174585</v>
      </c>
      <c r="J919" t="s">
        <v>470</v>
      </c>
      <c r="K919" t="s">
        <v>273</v>
      </c>
      <c r="L919" t="s">
        <v>136</v>
      </c>
      <c r="M919" t="s">
        <v>6</v>
      </c>
    </row>
    <row r="920" spans="1:13" x14ac:dyDescent="0.25">
      <c r="A920" s="3" t="s">
        <v>137</v>
      </c>
      <c r="B920" s="4">
        <v>1</v>
      </c>
      <c r="C920" s="4"/>
      <c r="D920" s="4" t="s">
        <v>138</v>
      </c>
      <c r="E920" s="4" t="s">
        <v>6</v>
      </c>
      <c r="F920">
        <f>COUNTIFS($D$2:D920,D920)</f>
        <v>1</v>
      </c>
      <c r="G920" t="str">
        <f t="shared" si="14"/>
        <v>3871H</v>
      </c>
      <c r="H920">
        <v>5.4543346000000001</v>
      </c>
      <c r="I920">
        <v>52.175151200000002</v>
      </c>
      <c r="J920" t="s">
        <v>471</v>
      </c>
      <c r="K920" t="s">
        <v>355</v>
      </c>
      <c r="L920" t="s">
        <v>138</v>
      </c>
      <c r="M920" t="s">
        <v>6</v>
      </c>
    </row>
    <row r="921" spans="1:13" x14ac:dyDescent="0.25">
      <c r="A921" s="3" t="s">
        <v>137</v>
      </c>
      <c r="B921" s="4">
        <v>3</v>
      </c>
      <c r="C921" s="4"/>
      <c r="D921" s="4" t="s">
        <v>138</v>
      </c>
      <c r="E921" s="4" t="s">
        <v>6</v>
      </c>
      <c r="F921">
        <f>COUNTIFS($D$2:D921,D921)</f>
        <v>2</v>
      </c>
      <c r="G921" t="str">
        <f t="shared" si="14"/>
        <v>3871H</v>
      </c>
      <c r="H921">
        <v>5.4543638000000003</v>
      </c>
      <c r="I921">
        <v>52.175133199999998</v>
      </c>
      <c r="J921" t="s">
        <v>471</v>
      </c>
      <c r="K921" t="s">
        <v>356</v>
      </c>
      <c r="L921" t="s">
        <v>138</v>
      </c>
      <c r="M921" t="s">
        <v>6</v>
      </c>
    </row>
    <row r="922" spans="1:13" x14ac:dyDescent="0.25">
      <c r="A922" s="3" t="s">
        <v>137</v>
      </c>
      <c r="B922" s="4">
        <v>5</v>
      </c>
      <c r="C922" s="4"/>
      <c r="D922" s="4" t="s">
        <v>138</v>
      </c>
      <c r="E922" s="4" t="s">
        <v>6</v>
      </c>
      <c r="F922">
        <f>COUNTIFS($D$2:D922,D922)</f>
        <v>3</v>
      </c>
      <c r="G922" t="str">
        <f t="shared" si="14"/>
        <v>3871H</v>
      </c>
      <c r="H922">
        <v>5.4543346000000001</v>
      </c>
      <c r="I922">
        <v>52.175115300000002</v>
      </c>
      <c r="J922" t="s">
        <v>471</v>
      </c>
      <c r="K922" t="s">
        <v>357</v>
      </c>
      <c r="L922" t="s">
        <v>138</v>
      </c>
      <c r="M922" t="s">
        <v>6</v>
      </c>
    </row>
    <row r="923" spans="1:13" x14ac:dyDescent="0.25">
      <c r="A923" s="3" t="s">
        <v>137</v>
      </c>
      <c r="B923" s="4">
        <v>7</v>
      </c>
      <c r="C923" s="4"/>
      <c r="D923" s="4" t="s">
        <v>138</v>
      </c>
      <c r="E923" s="4" t="s">
        <v>6</v>
      </c>
      <c r="F923">
        <f>COUNTIFS($D$2:D923,D923)</f>
        <v>4</v>
      </c>
      <c r="G923" t="str">
        <f t="shared" si="14"/>
        <v>3871H</v>
      </c>
      <c r="H923">
        <v>5.4543052999999997</v>
      </c>
      <c r="I923">
        <v>52.175133299999999</v>
      </c>
      <c r="J923" t="s">
        <v>471</v>
      </c>
      <c r="K923" t="s">
        <v>358</v>
      </c>
      <c r="L923" t="s">
        <v>138</v>
      </c>
      <c r="M923" t="s">
        <v>6</v>
      </c>
    </row>
    <row r="924" spans="1:13" x14ac:dyDescent="0.25">
      <c r="A924" s="3" t="s">
        <v>137</v>
      </c>
      <c r="B924" s="4">
        <v>11</v>
      </c>
      <c r="C924" s="4"/>
      <c r="D924" s="4" t="s">
        <v>138</v>
      </c>
      <c r="E924" s="4" t="s">
        <v>6</v>
      </c>
      <c r="F924">
        <f>COUNTIFS($D$2:D924,D924)</f>
        <v>5</v>
      </c>
      <c r="G924" t="str">
        <f t="shared" si="14"/>
        <v>3871H</v>
      </c>
      <c r="H924">
        <v>5.4543638999999997</v>
      </c>
      <c r="I924">
        <v>52.175151200000002</v>
      </c>
      <c r="J924" t="s">
        <v>471</v>
      </c>
      <c r="K924" t="s">
        <v>391</v>
      </c>
      <c r="L924" t="s">
        <v>138</v>
      </c>
      <c r="M924" t="s">
        <v>6</v>
      </c>
    </row>
    <row r="925" spans="1:13" x14ac:dyDescent="0.25">
      <c r="A925" s="3" t="s">
        <v>137</v>
      </c>
      <c r="B925" s="4">
        <v>13</v>
      </c>
      <c r="C925" s="4"/>
      <c r="D925" s="4" t="s">
        <v>138</v>
      </c>
      <c r="E925" s="4" t="s">
        <v>6</v>
      </c>
      <c r="F925">
        <f>COUNTIFS($D$2:D925,D925)</f>
        <v>6</v>
      </c>
      <c r="G925" t="str">
        <f t="shared" si="14"/>
        <v>3871H</v>
      </c>
      <c r="H925">
        <v>5.4543784000000004</v>
      </c>
      <c r="I925">
        <v>52.175133199999998</v>
      </c>
      <c r="J925" t="s">
        <v>471</v>
      </c>
      <c r="K925" t="s">
        <v>359</v>
      </c>
      <c r="L925" t="s">
        <v>138</v>
      </c>
      <c r="M925" t="s">
        <v>6</v>
      </c>
    </row>
    <row r="926" spans="1:13" x14ac:dyDescent="0.25">
      <c r="A926" s="3" t="s">
        <v>137</v>
      </c>
      <c r="B926" s="4">
        <v>15</v>
      </c>
      <c r="C926" s="4"/>
      <c r="D926" s="4" t="s">
        <v>138</v>
      </c>
      <c r="E926" s="4" t="s">
        <v>6</v>
      </c>
      <c r="F926">
        <f>COUNTIFS($D$2:D926,D926)</f>
        <v>7</v>
      </c>
      <c r="G926" t="str">
        <f t="shared" si="14"/>
        <v>3871H</v>
      </c>
      <c r="H926">
        <v>5.4543638000000003</v>
      </c>
      <c r="I926">
        <v>52.1751152</v>
      </c>
      <c r="J926" t="s">
        <v>471</v>
      </c>
      <c r="K926" t="s">
        <v>383</v>
      </c>
      <c r="L926" t="s">
        <v>138</v>
      </c>
      <c r="M926" t="s">
        <v>6</v>
      </c>
    </row>
    <row r="927" spans="1:13" x14ac:dyDescent="0.25">
      <c r="A927" s="3" t="s">
        <v>137</v>
      </c>
      <c r="B927" s="4">
        <v>17</v>
      </c>
      <c r="C927" s="4"/>
      <c r="D927" s="4" t="s">
        <v>138</v>
      </c>
      <c r="E927" s="4" t="s">
        <v>6</v>
      </c>
      <c r="F927">
        <f>COUNTIFS($D$2:D927,D927)</f>
        <v>8</v>
      </c>
      <c r="G927" t="str">
        <f t="shared" si="14"/>
        <v>3871H</v>
      </c>
      <c r="H927">
        <v>5.4543344999999999</v>
      </c>
      <c r="I927">
        <v>52.175106300000003</v>
      </c>
      <c r="J927" t="s">
        <v>471</v>
      </c>
      <c r="K927" t="s">
        <v>360</v>
      </c>
      <c r="L927" t="s">
        <v>138</v>
      </c>
      <c r="M927" t="s">
        <v>6</v>
      </c>
    </row>
    <row r="928" spans="1:13" x14ac:dyDescent="0.25">
      <c r="A928" s="3" t="s">
        <v>137</v>
      </c>
      <c r="B928" s="4">
        <v>19</v>
      </c>
      <c r="C928" s="4"/>
      <c r="D928" s="4" t="s">
        <v>138</v>
      </c>
      <c r="E928" s="4" t="s">
        <v>6</v>
      </c>
      <c r="F928">
        <f>COUNTIFS($D$2:D928,D928)</f>
        <v>9</v>
      </c>
      <c r="G928" t="str">
        <f t="shared" si="14"/>
        <v>3871H</v>
      </c>
      <c r="H928">
        <v>5.4543052999999997</v>
      </c>
      <c r="I928">
        <v>52.175115300000002</v>
      </c>
      <c r="J928" t="s">
        <v>471</v>
      </c>
      <c r="K928" t="s">
        <v>361</v>
      </c>
      <c r="L928" t="s">
        <v>138</v>
      </c>
      <c r="M928" t="s">
        <v>6</v>
      </c>
    </row>
    <row r="929" spans="1:13" x14ac:dyDescent="0.25">
      <c r="A929" s="3" t="s">
        <v>137</v>
      </c>
      <c r="B929" s="4">
        <v>21</v>
      </c>
      <c r="C929" s="4"/>
      <c r="D929" s="4" t="s">
        <v>138</v>
      </c>
      <c r="E929" s="4" t="s">
        <v>6</v>
      </c>
      <c r="F929">
        <f>COUNTIFS($D$2:D929,D929)</f>
        <v>10</v>
      </c>
      <c r="G929" t="str">
        <f t="shared" si="14"/>
        <v>3871H</v>
      </c>
      <c r="H929">
        <v>5.4541443999999997</v>
      </c>
      <c r="I929">
        <v>52.175043500000001</v>
      </c>
      <c r="J929" t="s">
        <v>471</v>
      </c>
      <c r="K929" t="s">
        <v>362</v>
      </c>
      <c r="L929" t="s">
        <v>138</v>
      </c>
      <c r="M929" t="s">
        <v>6</v>
      </c>
    </row>
    <row r="930" spans="1:13" x14ac:dyDescent="0.25">
      <c r="A930" s="3" t="s">
        <v>137</v>
      </c>
      <c r="B930" s="4">
        <v>23</v>
      </c>
      <c r="C930" s="4"/>
      <c r="D930" s="4" t="s">
        <v>138</v>
      </c>
      <c r="E930" s="4" t="s">
        <v>6</v>
      </c>
      <c r="F930">
        <f>COUNTIFS($D$2:D930,D930)</f>
        <v>11</v>
      </c>
      <c r="G930" t="str">
        <f t="shared" si="14"/>
        <v>3871H</v>
      </c>
      <c r="H930">
        <v>5.4541735999999998</v>
      </c>
      <c r="I930">
        <v>52.174998500000001</v>
      </c>
      <c r="J930" t="s">
        <v>471</v>
      </c>
      <c r="K930" t="s">
        <v>384</v>
      </c>
      <c r="L930" t="s">
        <v>138</v>
      </c>
      <c r="M930" t="s">
        <v>6</v>
      </c>
    </row>
    <row r="931" spans="1:13" x14ac:dyDescent="0.25">
      <c r="A931" s="3" t="s">
        <v>137</v>
      </c>
      <c r="B931" s="4">
        <v>25</v>
      </c>
      <c r="C931" s="4"/>
      <c r="D931" s="4" t="s">
        <v>138</v>
      </c>
      <c r="E931" s="4" t="s">
        <v>6</v>
      </c>
      <c r="F931">
        <f>COUNTIFS($D$2:D931,D931)</f>
        <v>12</v>
      </c>
      <c r="G931" t="str">
        <f t="shared" si="14"/>
        <v>3871H</v>
      </c>
      <c r="H931">
        <v>5.4542026999999997</v>
      </c>
      <c r="I931">
        <v>52.174944600000003</v>
      </c>
      <c r="J931" t="s">
        <v>471</v>
      </c>
      <c r="K931" t="s">
        <v>385</v>
      </c>
      <c r="L931" t="s">
        <v>138</v>
      </c>
      <c r="M931" t="s">
        <v>6</v>
      </c>
    </row>
    <row r="932" spans="1:13" x14ac:dyDescent="0.25">
      <c r="A932" s="3" t="s">
        <v>137</v>
      </c>
      <c r="B932" s="4">
        <v>27</v>
      </c>
      <c r="C932" s="4"/>
      <c r="D932" s="4" t="s">
        <v>138</v>
      </c>
      <c r="E932" s="4" t="s">
        <v>6</v>
      </c>
      <c r="F932">
        <f>COUNTIFS($D$2:D932,D932)</f>
        <v>13</v>
      </c>
      <c r="G932" t="str">
        <f t="shared" si="14"/>
        <v>3871H</v>
      </c>
      <c r="H932">
        <v>5.4541880000000003</v>
      </c>
      <c r="I932">
        <v>52.1748817</v>
      </c>
      <c r="J932" t="s">
        <v>471</v>
      </c>
      <c r="K932" t="s">
        <v>393</v>
      </c>
      <c r="L932" t="s">
        <v>138</v>
      </c>
      <c r="M932" t="s">
        <v>6</v>
      </c>
    </row>
    <row r="933" spans="1:13" x14ac:dyDescent="0.25">
      <c r="A933" s="3" t="s">
        <v>137</v>
      </c>
      <c r="B933" s="4">
        <v>29</v>
      </c>
      <c r="C933" s="4"/>
      <c r="D933" s="4" t="s">
        <v>138</v>
      </c>
      <c r="E933" s="4" t="s">
        <v>6</v>
      </c>
      <c r="F933">
        <f>COUNTIFS($D$2:D933,D933)</f>
        <v>14</v>
      </c>
      <c r="G933" t="str">
        <f t="shared" si="14"/>
        <v>3871H</v>
      </c>
      <c r="H933">
        <v>5.4543040999999999</v>
      </c>
      <c r="I933">
        <v>52.174306399999999</v>
      </c>
      <c r="J933" t="s">
        <v>471</v>
      </c>
      <c r="K933" t="s">
        <v>364</v>
      </c>
      <c r="L933" t="s">
        <v>138</v>
      </c>
      <c r="M933" t="s">
        <v>6</v>
      </c>
    </row>
    <row r="934" spans="1:13" x14ac:dyDescent="0.25">
      <c r="A934" s="3" t="s">
        <v>137</v>
      </c>
      <c r="B934" s="4">
        <v>31</v>
      </c>
      <c r="C934" s="4"/>
      <c r="D934" s="4" t="s">
        <v>138</v>
      </c>
      <c r="E934" s="4" t="s">
        <v>6</v>
      </c>
      <c r="F934">
        <f>COUNTIFS($D$2:D934,D934)</f>
        <v>15</v>
      </c>
      <c r="G934" t="str">
        <f t="shared" si="14"/>
        <v>3871H</v>
      </c>
      <c r="H934">
        <v>5.4543185999999997</v>
      </c>
      <c r="I934">
        <v>52.174243400000002</v>
      </c>
      <c r="J934" t="s">
        <v>471</v>
      </c>
      <c r="K934" t="s">
        <v>323</v>
      </c>
      <c r="L934" t="s">
        <v>138</v>
      </c>
      <c r="M934" t="s">
        <v>6</v>
      </c>
    </row>
    <row r="935" spans="1:13" x14ac:dyDescent="0.25">
      <c r="A935" s="3" t="s">
        <v>137</v>
      </c>
      <c r="B935" s="4">
        <v>33</v>
      </c>
      <c r="C935" s="4"/>
      <c r="D935" s="4" t="s">
        <v>138</v>
      </c>
      <c r="E935" s="4" t="s">
        <v>6</v>
      </c>
      <c r="F935">
        <f>COUNTIFS($D$2:D935,D935)</f>
        <v>16</v>
      </c>
      <c r="G935" t="str">
        <f t="shared" si="14"/>
        <v>3871H</v>
      </c>
      <c r="H935">
        <v>5.4543185000000003</v>
      </c>
      <c r="I935">
        <v>52.1741356</v>
      </c>
      <c r="J935" t="s">
        <v>471</v>
      </c>
      <c r="K935" t="s">
        <v>365</v>
      </c>
      <c r="L935" t="s">
        <v>138</v>
      </c>
      <c r="M935" t="s">
        <v>6</v>
      </c>
    </row>
    <row r="936" spans="1:13" x14ac:dyDescent="0.25">
      <c r="A936" s="3" t="s">
        <v>137</v>
      </c>
      <c r="B936" s="4">
        <v>35</v>
      </c>
      <c r="C936" s="4"/>
      <c r="D936" s="4" t="s">
        <v>138</v>
      </c>
      <c r="E936" s="4" t="s">
        <v>6</v>
      </c>
      <c r="F936">
        <f>COUNTIFS($D$2:D936,D936)</f>
        <v>17</v>
      </c>
      <c r="G936" t="str">
        <f t="shared" si="14"/>
        <v>3871H</v>
      </c>
      <c r="H936">
        <v>5.4543330000000001</v>
      </c>
      <c r="I936">
        <v>52.174063699999998</v>
      </c>
      <c r="J936" t="s">
        <v>471</v>
      </c>
      <c r="K936" t="s">
        <v>366</v>
      </c>
      <c r="L936" t="s">
        <v>138</v>
      </c>
      <c r="M936" t="s">
        <v>6</v>
      </c>
    </row>
    <row r="937" spans="1:13" x14ac:dyDescent="0.25">
      <c r="A937" s="3" t="s">
        <v>137</v>
      </c>
      <c r="B937" s="4">
        <v>37</v>
      </c>
      <c r="C937" s="4"/>
      <c r="D937" s="4" t="s">
        <v>138</v>
      </c>
      <c r="E937" s="4" t="s">
        <v>6</v>
      </c>
      <c r="F937">
        <f>COUNTIFS($D$2:D937,D937)</f>
        <v>18</v>
      </c>
      <c r="G937" t="str">
        <f t="shared" si="14"/>
        <v>3871H</v>
      </c>
      <c r="H937">
        <v>5.4543473999999996</v>
      </c>
      <c r="I937">
        <v>52.173955800000002</v>
      </c>
      <c r="J937" t="s">
        <v>471</v>
      </c>
      <c r="K937" t="s">
        <v>367</v>
      </c>
      <c r="L937" t="s">
        <v>138</v>
      </c>
      <c r="M937" t="s">
        <v>6</v>
      </c>
    </row>
    <row r="938" spans="1:13" x14ac:dyDescent="0.25">
      <c r="A938" s="3" t="s">
        <v>137</v>
      </c>
      <c r="B938" s="4">
        <v>39</v>
      </c>
      <c r="C938" s="4"/>
      <c r="D938" s="4" t="s">
        <v>138</v>
      </c>
      <c r="E938" s="4" t="s">
        <v>6</v>
      </c>
      <c r="F938">
        <f>COUNTIFS($D$2:D938,D938)</f>
        <v>19</v>
      </c>
      <c r="G938" t="str">
        <f t="shared" si="14"/>
        <v>3871H</v>
      </c>
      <c r="H938">
        <v>5.4543762999999998</v>
      </c>
      <c r="I938">
        <v>52.173740100000003</v>
      </c>
      <c r="J938" t="s">
        <v>471</v>
      </c>
      <c r="K938" t="s">
        <v>368</v>
      </c>
      <c r="L938" t="s">
        <v>138</v>
      </c>
      <c r="M938" t="s">
        <v>6</v>
      </c>
    </row>
    <row r="939" spans="1:13" x14ac:dyDescent="0.25">
      <c r="A939" s="3" t="s">
        <v>137</v>
      </c>
      <c r="B939" s="4">
        <v>41</v>
      </c>
      <c r="C939" s="4"/>
      <c r="D939" s="4" t="s">
        <v>138</v>
      </c>
      <c r="E939" s="4" t="s">
        <v>6</v>
      </c>
      <c r="F939">
        <f>COUNTIFS($D$2:D939,D939)</f>
        <v>20</v>
      </c>
      <c r="G939" t="str">
        <f t="shared" si="14"/>
        <v>3871H</v>
      </c>
      <c r="H939">
        <v>5.4543761999999996</v>
      </c>
      <c r="I939">
        <v>52.173668200000002</v>
      </c>
      <c r="J939" t="s">
        <v>471</v>
      </c>
      <c r="K939" t="s">
        <v>325</v>
      </c>
      <c r="L939" t="s">
        <v>138</v>
      </c>
      <c r="M939" t="s">
        <v>6</v>
      </c>
    </row>
    <row r="940" spans="1:13" x14ac:dyDescent="0.25">
      <c r="A940" s="3" t="s">
        <v>137</v>
      </c>
      <c r="B940" s="4">
        <v>43</v>
      </c>
      <c r="C940" s="4"/>
      <c r="D940" s="4" t="s">
        <v>138</v>
      </c>
      <c r="E940" s="4" t="s">
        <v>6</v>
      </c>
      <c r="F940">
        <f>COUNTIFS($D$2:D940,D940)</f>
        <v>21</v>
      </c>
      <c r="G940" t="str">
        <f t="shared" si="14"/>
        <v>3871H</v>
      </c>
      <c r="H940">
        <v>5.4543907000000003</v>
      </c>
      <c r="I940">
        <v>52.173560299999998</v>
      </c>
      <c r="J940" t="s">
        <v>471</v>
      </c>
      <c r="K940" t="s">
        <v>326</v>
      </c>
      <c r="L940" t="s">
        <v>138</v>
      </c>
      <c r="M940" t="s">
        <v>6</v>
      </c>
    </row>
    <row r="941" spans="1:13" x14ac:dyDescent="0.25">
      <c r="A941" s="3" t="s">
        <v>137</v>
      </c>
      <c r="B941" s="4">
        <v>45</v>
      </c>
      <c r="C941" s="4"/>
      <c r="D941" s="4" t="s">
        <v>138</v>
      </c>
      <c r="E941" s="4" t="s">
        <v>6</v>
      </c>
      <c r="F941">
        <f>COUNTIFS($D$2:D941,D941)</f>
        <v>22</v>
      </c>
      <c r="G941" t="str">
        <f t="shared" si="14"/>
        <v>3871H</v>
      </c>
      <c r="H941">
        <v>5.4544052000000001</v>
      </c>
      <c r="I941">
        <v>52.173497400000002</v>
      </c>
      <c r="J941" t="s">
        <v>471</v>
      </c>
      <c r="K941" t="s">
        <v>327</v>
      </c>
      <c r="L941" t="s">
        <v>138</v>
      </c>
      <c r="M941" t="s">
        <v>6</v>
      </c>
    </row>
    <row r="942" spans="1:13" x14ac:dyDescent="0.25">
      <c r="A942" s="3" t="s">
        <v>137</v>
      </c>
      <c r="B942" s="4">
        <v>47</v>
      </c>
      <c r="C942" s="4"/>
      <c r="D942" s="4" t="s">
        <v>138</v>
      </c>
      <c r="E942" s="4" t="s">
        <v>6</v>
      </c>
      <c r="F942">
        <f>COUNTIFS($D$2:D942,D942)</f>
        <v>23</v>
      </c>
      <c r="G942" t="str">
        <f t="shared" si="14"/>
        <v>3871H</v>
      </c>
      <c r="H942">
        <v>5.4544196999999999</v>
      </c>
      <c r="I942">
        <v>52.173389499999999</v>
      </c>
      <c r="J942" t="s">
        <v>471</v>
      </c>
      <c r="K942" t="s">
        <v>328</v>
      </c>
      <c r="L942" t="s">
        <v>138</v>
      </c>
      <c r="M942" t="s">
        <v>6</v>
      </c>
    </row>
    <row r="943" spans="1:13" x14ac:dyDescent="0.25">
      <c r="A943" s="3" t="s">
        <v>137</v>
      </c>
      <c r="B943" s="4">
        <v>49</v>
      </c>
      <c r="C943" s="4"/>
      <c r="D943" s="4" t="s">
        <v>138</v>
      </c>
      <c r="E943" s="4" t="s">
        <v>6</v>
      </c>
      <c r="F943">
        <f>COUNTIFS($D$2:D943,D943)</f>
        <v>24</v>
      </c>
      <c r="G943" t="str">
        <f t="shared" si="14"/>
        <v>3871H</v>
      </c>
      <c r="H943">
        <v>5.4544195999999996</v>
      </c>
      <c r="I943">
        <v>52.173326600000003</v>
      </c>
      <c r="J943" t="s">
        <v>471</v>
      </c>
      <c r="K943" t="s">
        <v>329</v>
      </c>
      <c r="L943" t="s">
        <v>138</v>
      </c>
      <c r="M943" t="s">
        <v>6</v>
      </c>
    </row>
    <row r="944" spans="1:13" x14ac:dyDescent="0.25">
      <c r="A944" s="3" t="s">
        <v>137</v>
      </c>
      <c r="B944" s="4">
        <v>51</v>
      </c>
      <c r="C944" s="4"/>
      <c r="D944" s="4" t="s">
        <v>138</v>
      </c>
      <c r="E944" s="4" t="s">
        <v>6</v>
      </c>
      <c r="F944">
        <f>COUNTIFS($D$2:D944,D944)</f>
        <v>25</v>
      </c>
      <c r="G944" t="str">
        <f t="shared" si="14"/>
        <v>3871H</v>
      </c>
      <c r="H944">
        <v>5.4544630999999999</v>
      </c>
      <c r="I944">
        <v>52.1731379</v>
      </c>
      <c r="J944" t="s">
        <v>471</v>
      </c>
      <c r="K944" t="s">
        <v>331</v>
      </c>
      <c r="L944" t="s">
        <v>138</v>
      </c>
      <c r="M944" t="s">
        <v>6</v>
      </c>
    </row>
    <row r="945" spans="1:13" x14ac:dyDescent="0.25">
      <c r="A945" s="3" t="s">
        <v>137</v>
      </c>
      <c r="B945" s="4">
        <v>53</v>
      </c>
      <c r="C945" s="4"/>
      <c r="D945" s="4" t="s">
        <v>138</v>
      </c>
      <c r="E945" s="4" t="s">
        <v>6</v>
      </c>
      <c r="F945">
        <f>COUNTIFS($D$2:D945,D945)</f>
        <v>26</v>
      </c>
      <c r="G945" t="str">
        <f t="shared" si="14"/>
        <v>3871H</v>
      </c>
      <c r="H945">
        <v>5.4544775999999997</v>
      </c>
      <c r="I945">
        <v>52.173020999999999</v>
      </c>
      <c r="J945" t="s">
        <v>471</v>
      </c>
      <c r="K945" t="s">
        <v>332</v>
      </c>
      <c r="L945" t="s">
        <v>138</v>
      </c>
      <c r="M945" t="s">
        <v>6</v>
      </c>
    </row>
    <row r="946" spans="1:13" x14ac:dyDescent="0.25">
      <c r="A946" s="3" t="s">
        <v>137</v>
      </c>
      <c r="B946" s="4">
        <v>55</v>
      </c>
      <c r="C946" s="4"/>
      <c r="D946" s="4" t="s">
        <v>138</v>
      </c>
      <c r="E946" s="4" t="s">
        <v>6</v>
      </c>
      <c r="F946">
        <f>COUNTIFS($D$2:D946,D946)</f>
        <v>27</v>
      </c>
      <c r="G946" t="str">
        <f t="shared" si="14"/>
        <v>3871H</v>
      </c>
      <c r="H946">
        <v>5.4544775000000003</v>
      </c>
      <c r="I946">
        <v>52.172958100000002</v>
      </c>
      <c r="J946" t="s">
        <v>471</v>
      </c>
      <c r="K946" t="s">
        <v>333</v>
      </c>
      <c r="L946" t="s">
        <v>138</v>
      </c>
      <c r="M946" t="s">
        <v>6</v>
      </c>
    </row>
    <row r="947" spans="1:13" x14ac:dyDescent="0.25">
      <c r="A947" s="3" t="s">
        <v>137</v>
      </c>
      <c r="B947" s="4">
        <v>57</v>
      </c>
      <c r="C947" s="4"/>
      <c r="D947" s="4" t="s">
        <v>138</v>
      </c>
      <c r="E947" s="4" t="s">
        <v>6</v>
      </c>
      <c r="F947">
        <f>COUNTIFS($D$2:D947,D947)</f>
        <v>28</v>
      </c>
      <c r="G947" t="str">
        <f t="shared" si="14"/>
        <v>3871H</v>
      </c>
      <c r="H947">
        <v>5.4544918999999998</v>
      </c>
      <c r="I947">
        <v>52.172841200000001</v>
      </c>
      <c r="J947" t="s">
        <v>471</v>
      </c>
      <c r="K947" t="s">
        <v>334</v>
      </c>
      <c r="L947" t="s">
        <v>138</v>
      </c>
      <c r="M947" t="s">
        <v>6</v>
      </c>
    </row>
    <row r="948" spans="1:13" x14ac:dyDescent="0.25">
      <c r="A948" s="3" t="s">
        <v>139</v>
      </c>
      <c r="B948" s="4">
        <v>2</v>
      </c>
      <c r="C948" s="4"/>
      <c r="D948" s="4" t="s">
        <v>138</v>
      </c>
      <c r="E948" s="4" t="s">
        <v>6</v>
      </c>
      <c r="F948">
        <f>COUNTIFS($D$2:D948,D948)</f>
        <v>29</v>
      </c>
      <c r="G948" t="str">
        <f t="shared" si="14"/>
        <v>3871H</v>
      </c>
      <c r="H948">
        <v>5.4538662999999996</v>
      </c>
      <c r="I948">
        <v>52.174845900000001</v>
      </c>
      <c r="J948" t="s">
        <v>472</v>
      </c>
      <c r="K948" t="s">
        <v>370</v>
      </c>
      <c r="L948" t="s">
        <v>138</v>
      </c>
      <c r="M948" t="s">
        <v>6</v>
      </c>
    </row>
    <row r="949" spans="1:13" x14ac:dyDescent="0.25">
      <c r="A949" s="3" t="s">
        <v>139</v>
      </c>
      <c r="B949" s="4">
        <v>4</v>
      </c>
      <c r="C949" s="4"/>
      <c r="D949" s="4" t="s">
        <v>138</v>
      </c>
      <c r="E949" s="4" t="s">
        <v>6</v>
      </c>
      <c r="F949">
        <f>COUNTIFS($D$2:D949,D949)</f>
        <v>30</v>
      </c>
      <c r="G949" t="str">
        <f t="shared" si="14"/>
        <v>3871H</v>
      </c>
      <c r="H949">
        <v>5.4538662000000002</v>
      </c>
      <c r="I949">
        <v>52.174773999999999</v>
      </c>
      <c r="J949" t="s">
        <v>472</v>
      </c>
      <c r="K949" t="s">
        <v>260</v>
      </c>
      <c r="L949" t="s">
        <v>138</v>
      </c>
      <c r="M949" t="s">
        <v>6</v>
      </c>
    </row>
    <row r="950" spans="1:13" x14ac:dyDescent="0.25">
      <c r="A950" s="3" t="s">
        <v>139</v>
      </c>
      <c r="B950" s="4">
        <v>6</v>
      </c>
      <c r="C950" s="4"/>
      <c r="D950" s="4" t="s">
        <v>138</v>
      </c>
      <c r="E950" s="4" t="s">
        <v>6</v>
      </c>
      <c r="F950">
        <f>COUNTIFS($D$2:D950,D950)</f>
        <v>31</v>
      </c>
      <c r="G950" t="str">
        <f t="shared" si="14"/>
        <v>3871H</v>
      </c>
      <c r="H950">
        <v>5.4538807</v>
      </c>
      <c r="I950">
        <v>52.174648099999999</v>
      </c>
      <c r="J950" t="s">
        <v>472</v>
      </c>
      <c r="K950" t="s">
        <v>262</v>
      </c>
      <c r="L950" t="s">
        <v>138</v>
      </c>
      <c r="M950" t="s">
        <v>6</v>
      </c>
    </row>
    <row r="951" spans="1:13" x14ac:dyDescent="0.25">
      <c r="A951" s="3" t="s">
        <v>139</v>
      </c>
      <c r="B951" s="4">
        <v>8</v>
      </c>
      <c r="C951" s="4"/>
      <c r="D951" s="4" t="s">
        <v>138</v>
      </c>
      <c r="E951" s="4" t="s">
        <v>6</v>
      </c>
      <c r="F951">
        <f>COUNTIFS($D$2:D951,D951)</f>
        <v>32</v>
      </c>
      <c r="G951" t="str">
        <f t="shared" si="14"/>
        <v>3871H</v>
      </c>
      <c r="H951">
        <v>5.4539096999999996</v>
      </c>
      <c r="I951">
        <v>52.174513300000001</v>
      </c>
      <c r="J951" t="s">
        <v>472</v>
      </c>
      <c r="K951" t="s">
        <v>263</v>
      </c>
      <c r="L951" t="s">
        <v>138</v>
      </c>
      <c r="M951" t="s">
        <v>6</v>
      </c>
    </row>
    <row r="952" spans="1:13" x14ac:dyDescent="0.25">
      <c r="A952" s="3" t="s">
        <v>139</v>
      </c>
      <c r="B952" s="4">
        <v>10</v>
      </c>
      <c r="C952" s="4"/>
      <c r="D952" s="4" t="s">
        <v>138</v>
      </c>
      <c r="E952" s="4" t="s">
        <v>6</v>
      </c>
      <c r="F952">
        <f>COUNTIFS($D$2:D952,D952)</f>
        <v>33</v>
      </c>
      <c r="G952" t="str">
        <f t="shared" si="14"/>
        <v>3871H</v>
      </c>
      <c r="H952">
        <v>5.4538950000000002</v>
      </c>
      <c r="I952">
        <v>52.174441399999999</v>
      </c>
      <c r="J952" t="s">
        <v>472</v>
      </c>
      <c r="K952" t="s">
        <v>264</v>
      </c>
      <c r="L952" t="s">
        <v>138</v>
      </c>
      <c r="M952" t="s">
        <v>6</v>
      </c>
    </row>
    <row r="953" spans="1:13" x14ac:dyDescent="0.25">
      <c r="A953" s="3" t="s">
        <v>139</v>
      </c>
      <c r="B953" s="4">
        <v>12</v>
      </c>
      <c r="C953" s="4"/>
      <c r="D953" s="4" t="s">
        <v>138</v>
      </c>
      <c r="E953" s="4" t="s">
        <v>6</v>
      </c>
      <c r="F953">
        <f>COUNTIFS($D$2:D953,D953)</f>
        <v>34</v>
      </c>
      <c r="G953" t="str">
        <f t="shared" si="14"/>
        <v>3871H</v>
      </c>
      <c r="H953">
        <v>5.4538947999999996</v>
      </c>
      <c r="I953">
        <v>52.174342600000003</v>
      </c>
      <c r="J953" t="s">
        <v>472</v>
      </c>
      <c r="K953" t="s">
        <v>265</v>
      </c>
      <c r="L953" t="s">
        <v>138</v>
      </c>
      <c r="M953" t="s">
        <v>6</v>
      </c>
    </row>
    <row r="954" spans="1:13" x14ac:dyDescent="0.25">
      <c r="A954" s="3" t="s">
        <v>139</v>
      </c>
      <c r="B954" s="4">
        <v>14</v>
      </c>
      <c r="C954" s="4"/>
      <c r="D954" s="4" t="s">
        <v>138</v>
      </c>
      <c r="E954" s="4" t="s">
        <v>6</v>
      </c>
      <c r="F954">
        <f>COUNTIFS($D$2:D954,D954)</f>
        <v>35</v>
      </c>
      <c r="G954" t="str">
        <f t="shared" si="14"/>
        <v>3871H</v>
      </c>
      <c r="H954">
        <v>5.4539093000000003</v>
      </c>
      <c r="I954">
        <v>52.174261700000002</v>
      </c>
      <c r="J954" t="s">
        <v>472</v>
      </c>
      <c r="K954" t="s">
        <v>266</v>
      </c>
      <c r="L954" t="s">
        <v>138</v>
      </c>
      <c r="M954" t="s">
        <v>6</v>
      </c>
    </row>
    <row r="955" spans="1:13" x14ac:dyDescent="0.25">
      <c r="A955" s="3" t="s">
        <v>139</v>
      </c>
      <c r="B955" s="4">
        <v>16</v>
      </c>
      <c r="C955" s="4"/>
      <c r="D955" s="4" t="s">
        <v>138</v>
      </c>
      <c r="E955" s="4" t="s">
        <v>6</v>
      </c>
      <c r="F955">
        <f>COUNTIFS($D$2:D955,D955)</f>
        <v>36</v>
      </c>
      <c r="G955" t="str">
        <f t="shared" si="14"/>
        <v>3871H</v>
      </c>
      <c r="H955">
        <v>5.4539238000000001</v>
      </c>
      <c r="I955">
        <v>52.174162799999998</v>
      </c>
      <c r="J955" t="s">
        <v>472</v>
      </c>
      <c r="K955" t="s">
        <v>371</v>
      </c>
      <c r="L955" t="s">
        <v>138</v>
      </c>
      <c r="M955" t="s">
        <v>6</v>
      </c>
    </row>
    <row r="956" spans="1:13" x14ac:dyDescent="0.25">
      <c r="A956" s="3" t="s">
        <v>139</v>
      </c>
      <c r="B956" s="4">
        <v>18</v>
      </c>
      <c r="C956" s="4"/>
      <c r="D956" s="4" t="s">
        <v>138</v>
      </c>
      <c r="E956" s="4" t="s">
        <v>6</v>
      </c>
      <c r="F956">
        <f>COUNTIFS($D$2:D956,D956)</f>
        <v>37</v>
      </c>
      <c r="G956" t="str">
        <f t="shared" si="14"/>
        <v>3871H</v>
      </c>
      <c r="H956">
        <v>5.4539381999999996</v>
      </c>
      <c r="I956">
        <v>52.174045900000003</v>
      </c>
      <c r="J956" t="s">
        <v>472</v>
      </c>
      <c r="K956" t="s">
        <v>267</v>
      </c>
      <c r="L956" t="s">
        <v>138</v>
      </c>
      <c r="M956" t="s">
        <v>6</v>
      </c>
    </row>
    <row r="957" spans="1:13" x14ac:dyDescent="0.25">
      <c r="A957" s="3" t="s">
        <v>139</v>
      </c>
      <c r="B957" s="4">
        <v>20</v>
      </c>
      <c r="C957" s="4"/>
      <c r="D957" s="4" t="s">
        <v>138</v>
      </c>
      <c r="E957" s="4" t="s">
        <v>6</v>
      </c>
      <c r="F957">
        <f>COUNTIFS($D$2:D957,D957)</f>
        <v>38</v>
      </c>
      <c r="G957" t="str">
        <f t="shared" si="14"/>
        <v>3871H</v>
      </c>
      <c r="H957">
        <v>5.4539527999999997</v>
      </c>
      <c r="I957">
        <v>52.173974000000001</v>
      </c>
      <c r="J957" t="s">
        <v>472</v>
      </c>
      <c r="K957" t="s">
        <v>372</v>
      </c>
      <c r="L957" t="s">
        <v>138</v>
      </c>
      <c r="M957" t="s">
        <v>6</v>
      </c>
    </row>
    <row r="958" spans="1:13" x14ac:dyDescent="0.25">
      <c r="A958" s="3" t="s">
        <v>139</v>
      </c>
      <c r="B958" s="4">
        <v>22</v>
      </c>
      <c r="C958" s="4"/>
      <c r="D958" s="4" t="s">
        <v>138</v>
      </c>
      <c r="E958" s="4" t="s">
        <v>6</v>
      </c>
      <c r="F958">
        <f>COUNTIFS($D$2:D958,D958)</f>
        <v>39</v>
      </c>
      <c r="G958" t="str">
        <f t="shared" si="14"/>
        <v>3871H</v>
      </c>
      <c r="H958">
        <v>5.4539672000000001</v>
      </c>
      <c r="I958">
        <v>52.173875099999997</v>
      </c>
      <c r="J958" t="s">
        <v>472</v>
      </c>
      <c r="K958" t="s">
        <v>269</v>
      </c>
      <c r="L958" t="s">
        <v>138</v>
      </c>
      <c r="M958" t="s">
        <v>6</v>
      </c>
    </row>
    <row r="959" spans="1:13" x14ac:dyDescent="0.25">
      <c r="A959" s="3" t="s">
        <v>139</v>
      </c>
      <c r="B959" s="4">
        <v>24</v>
      </c>
      <c r="C959" s="4"/>
      <c r="D959" s="4" t="s">
        <v>138</v>
      </c>
      <c r="E959" s="4" t="s">
        <v>6</v>
      </c>
      <c r="F959">
        <f>COUNTIFS($D$2:D959,D959)</f>
        <v>40</v>
      </c>
      <c r="G959" t="str">
        <f t="shared" si="14"/>
        <v>3871H</v>
      </c>
      <c r="H959">
        <v>5.4539670999999998</v>
      </c>
      <c r="I959">
        <v>52.173794299999997</v>
      </c>
      <c r="J959" t="s">
        <v>472</v>
      </c>
      <c r="K959" t="s">
        <v>270</v>
      </c>
      <c r="L959" t="s">
        <v>138</v>
      </c>
      <c r="M959" t="s">
        <v>6</v>
      </c>
    </row>
    <row r="960" spans="1:13" x14ac:dyDescent="0.25">
      <c r="A960" s="3" t="s">
        <v>139</v>
      </c>
      <c r="B960" s="4">
        <v>26</v>
      </c>
      <c r="C960" s="4"/>
      <c r="D960" s="4" t="s">
        <v>138</v>
      </c>
      <c r="E960" s="4" t="s">
        <v>6</v>
      </c>
      <c r="F960">
        <f>COUNTIFS($D$2:D960,D960)</f>
        <v>41</v>
      </c>
      <c r="G960" t="str">
        <f t="shared" si="14"/>
        <v>3871H</v>
      </c>
      <c r="H960">
        <v>5.4539815999999997</v>
      </c>
      <c r="I960">
        <v>52.173686400000001</v>
      </c>
      <c r="J960" t="s">
        <v>472</v>
      </c>
      <c r="K960" t="s">
        <v>271</v>
      </c>
      <c r="L960" t="s">
        <v>138</v>
      </c>
      <c r="M960" t="s">
        <v>6</v>
      </c>
    </row>
    <row r="961" spans="1:13" x14ac:dyDescent="0.25">
      <c r="A961" s="3" t="s">
        <v>139</v>
      </c>
      <c r="B961" s="4">
        <v>28</v>
      </c>
      <c r="C961" s="4"/>
      <c r="D961" s="4" t="s">
        <v>138</v>
      </c>
      <c r="E961" s="4" t="s">
        <v>6</v>
      </c>
      <c r="F961">
        <f>COUNTIFS($D$2:D961,D961)</f>
        <v>42</v>
      </c>
      <c r="G961" t="str">
        <f t="shared" si="14"/>
        <v>3871H</v>
      </c>
      <c r="H961">
        <v>5.4539960000000001</v>
      </c>
      <c r="I961">
        <v>52.173551600000003</v>
      </c>
      <c r="J961" t="s">
        <v>472</v>
      </c>
      <c r="K961" t="s">
        <v>272</v>
      </c>
      <c r="L961" t="s">
        <v>138</v>
      </c>
      <c r="M961" t="s">
        <v>6</v>
      </c>
    </row>
    <row r="962" spans="1:13" x14ac:dyDescent="0.25">
      <c r="A962" s="3" t="s">
        <v>139</v>
      </c>
      <c r="B962" s="4">
        <v>30</v>
      </c>
      <c r="C962" s="4"/>
      <c r="D962" s="4" t="s">
        <v>138</v>
      </c>
      <c r="E962" s="4" t="s">
        <v>6</v>
      </c>
      <c r="F962">
        <f>COUNTIFS($D$2:D962,D962)</f>
        <v>43</v>
      </c>
      <c r="G962" t="str">
        <f t="shared" ref="G962:G1025" si="15">LEFT(A962,5)</f>
        <v>3871H</v>
      </c>
      <c r="H962">
        <v>5.4540103999999996</v>
      </c>
      <c r="I962">
        <v>52.173425700000003</v>
      </c>
      <c r="J962" t="s">
        <v>472</v>
      </c>
      <c r="K962" t="s">
        <v>373</v>
      </c>
      <c r="L962" t="s">
        <v>138</v>
      </c>
      <c r="M962" t="s">
        <v>6</v>
      </c>
    </row>
    <row r="963" spans="1:13" x14ac:dyDescent="0.25">
      <c r="A963" s="3" t="s">
        <v>140</v>
      </c>
      <c r="B963" s="4">
        <v>1</v>
      </c>
      <c r="C963" s="4"/>
      <c r="D963" s="4" t="s">
        <v>141</v>
      </c>
      <c r="E963" s="4" t="s">
        <v>6</v>
      </c>
      <c r="F963">
        <f>COUNTIFS($D$2:D963,D963)</f>
        <v>1</v>
      </c>
      <c r="G963" t="str">
        <f t="shared" si="15"/>
        <v>3871H</v>
      </c>
      <c r="H963">
        <v>5.4556049</v>
      </c>
      <c r="I963">
        <v>52.174116900000001</v>
      </c>
      <c r="J963" t="s">
        <v>473</v>
      </c>
      <c r="K963" t="s">
        <v>355</v>
      </c>
      <c r="L963" t="s">
        <v>141</v>
      </c>
      <c r="M963" t="s">
        <v>6</v>
      </c>
    </row>
    <row r="964" spans="1:13" x14ac:dyDescent="0.25">
      <c r="A964" s="3" t="s">
        <v>140</v>
      </c>
      <c r="B964" s="4">
        <v>2</v>
      </c>
      <c r="C964" s="4"/>
      <c r="D964" s="4" t="s">
        <v>141</v>
      </c>
      <c r="E964" s="4" t="s">
        <v>6</v>
      </c>
      <c r="F964">
        <f>COUNTIFS($D$2:D964,D964)</f>
        <v>2</v>
      </c>
      <c r="G964" t="str">
        <f t="shared" si="15"/>
        <v>3871H</v>
      </c>
      <c r="H964">
        <v>5.4550789999999996</v>
      </c>
      <c r="I964">
        <v>52.174359899999999</v>
      </c>
      <c r="J964" t="s">
        <v>473</v>
      </c>
      <c r="K964" t="s">
        <v>370</v>
      </c>
      <c r="L964" t="s">
        <v>141</v>
      </c>
      <c r="M964" t="s">
        <v>6</v>
      </c>
    </row>
    <row r="965" spans="1:13" x14ac:dyDescent="0.25">
      <c r="A965" s="3" t="s">
        <v>140</v>
      </c>
      <c r="B965" s="4">
        <v>3</v>
      </c>
      <c r="C965" s="4"/>
      <c r="D965" s="4" t="s">
        <v>141</v>
      </c>
      <c r="E965" s="4" t="s">
        <v>6</v>
      </c>
      <c r="F965">
        <f>COUNTIFS($D$2:D965,D965)</f>
        <v>3</v>
      </c>
      <c r="G965" t="str">
        <f t="shared" si="15"/>
        <v>3871H</v>
      </c>
      <c r="H965">
        <v>5.4556047999999997</v>
      </c>
      <c r="I965">
        <v>52.174053999999998</v>
      </c>
      <c r="J965" t="s">
        <v>473</v>
      </c>
      <c r="K965" t="s">
        <v>356</v>
      </c>
      <c r="L965" t="s">
        <v>141</v>
      </c>
      <c r="M965" t="s">
        <v>6</v>
      </c>
    </row>
    <row r="966" spans="1:13" x14ac:dyDescent="0.25">
      <c r="A966" s="3" t="s">
        <v>140</v>
      </c>
      <c r="B966" s="4">
        <v>4</v>
      </c>
      <c r="C966" s="4"/>
      <c r="D966" s="4" t="s">
        <v>141</v>
      </c>
      <c r="E966" s="4" t="s">
        <v>6</v>
      </c>
      <c r="F966">
        <f>COUNTIFS($D$2:D966,D966)</f>
        <v>4</v>
      </c>
      <c r="G966" t="str">
        <f t="shared" si="15"/>
        <v>3871H</v>
      </c>
      <c r="H966">
        <v>5.4550787999999999</v>
      </c>
      <c r="I966">
        <v>52.17427</v>
      </c>
      <c r="J966" t="s">
        <v>473</v>
      </c>
      <c r="K966" t="s">
        <v>260</v>
      </c>
      <c r="L966" t="s">
        <v>141</v>
      </c>
      <c r="M966" t="s">
        <v>6</v>
      </c>
    </row>
    <row r="967" spans="1:13" x14ac:dyDescent="0.25">
      <c r="A967" s="3" t="s">
        <v>140</v>
      </c>
      <c r="B967" s="4">
        <v>5</v>
      </c>
      <c r="C967" s="4"/>
      <c r="D967" s="4" t="s">
        <v>141</v>
      </c>
      <c r="E967" s="4" t="s">
        <v>6</v>
      </c>
      <c r="F967">
        <f>COUNTIFS($D$2:D967,D967)</f>
        <v>5</v>
      </c>
      <c r="G967" t="str">
        <f t="shared" si="15"/>
        <v>3871H</v>
      </c>
      <c r="H967">
        <v>5.4556192000000001</v>
      </c>
      <c r="I967">
        <v>52.173946100000002</v>
      </c>
      <c r="J967" t="s">
        <v>473</v>
      </c>
      <c r="K967" t="s">
        <v>357</v>
      </c>
      <c r="L967" t="s">
        <v>141</v>
      </c>
      <c r="M967" t="s">
        <v>6</v>
      </c>
    </row>
    <row r="968" spans="1:13" x14ac:dyDescent="0.25">
      <c r="A968" s="3" t="s">
        <v>140</v>
      </c>
      <c r="B968" s="4">
        <v>6</v>
      </c>
      <c r="C968" s="4"/>
      <c r="D968" s="4" t="s">
        <v>141</v>
      </c>
      <c r="E968" s="4" t="s">
        <v>6</v>
      </c>
      <c r="F968">
        <f>COUNTIFS($D$2:D968,D968)</f>
        <v>6</v>
      </c>
      <c r="G968" t="str">
        <f t="shared" si="15"/>
        <v>3871H</v>
      </c>
      <c r="H968">
        <v>5.4551078999999998</v>
      </c>
      <c r="I968">
        <v>52.174162099999997</v>
      </c>
      <c r="J968" t="s">
        <v>473</v>
      </c>
      <c r="K968" t="s">
        <v>262</v>
      </c>
      <c r="L968" t="s">
        <v>141</v>
      </c>
      <c r="M968" t="s">
        <v>6</v>
      </c>
    </row>
    <row r="969" spans="1:13" x14ac:dyDescent="0.25">
      <c r="A969" s="3" t="s">
        <v>140</v>
      </c>
      <c r="B969" s="4">
        <v>7</v>
      </c>
      <c r="C969" s="4"/>
      <c r="D969" s="4" t="s">
        <v>141</v>
      </c>
      <c r="E969" s="4" t="s">
        <v>6</v>
      </c>
      <c r="F969">
        <f>COUNTIFS($D$2:D969,D969)</f>
        <v>7</v>
      </c>
      <c r="G969" t="str">
        <f t="shared" si="15"/>
        <v>3871H</v>
      </c>
      <c r="H969">
        <v>5.4556338000000002</v>
      </c>
      <c r="I969">
        <v>52.173892199999997</v>
      </c>
      <c r="J969" t="s">
        <v>473</v>
      </c>
      <c r="K969" t="s">
        <v>358</v>
      </c>
      <c r="L969" t="s">
        <v>141</v>
      </c>
      <c r="M969" t="s">
        <v>6</v>
      </c>
    </row>
    <row r="970" spans="1:13" x14ac:dyDescent="0.25">
      <c r="A970" s="3" t="s">
        <v>140</v>
      </c>
      <c r="B970" s="4">
        <v>8</v>
      </c>
      <c r="C970" s="4"/>
      <c r="D970" s="4" t="s">
        <v>141</v>
      </c>
      <c r="E970" s="4" t="s">
        <v>6</v>
      </c>
      <c r="F970">
        <f>COUNTIFS($D$2:D970,D970)</f>
        <v>8</v>
      </c>
      <c r="G970" t="str">
        <f t="shared" si="15"/>
        <v>3871H</v>
      </c>
      <c r="H970">
        <v>5.4551078000000004</v>
      </c>
      <c r="I970">
        <v>52.174108199999999</v>
      </c>
      <c r="J970" t="s">
        <v>473</v>
      </c>
      <c r="K970" t="s">
        <v>263</v>
      </c>
      <c r="L970" t="s">
        <v>141</v>
      </c>
      <c r="M970" t="s">
        <v>6</v>
      </c>
    </row>
    <row r="971" spans="1:13" x14ac:dyDescent="0.25">
      <c r="A971" s="3" t="s">
        <v>140</v>
      </c>
      <c r="B971" s="4">
        <v>9</v>
      </c>
      <c r="C971" s="4"/>
      <c r="D971" s="4" t="s">
        <v>141</v>
      </c>
      <c r="E971" s="4" t="s">
        <v>6</v>
      </c>
      <c r="F971">
        <f>COUNTIFS($D$2:D971,D971)</f>
        <v>9</v>
      </c>
      <c r="G971" t="str">
        <f t="shared" si="15"/>
        <v>3871H</v>
      </c>
      <c r="H971">
        <v>5.4551365000000001</v>
      </c>
      <c r="I971">
        <v>52.1737307</v>
      </c>
      <c r="J971" t="s">
        <v>473</v>
      </c>
      <c r="K971" t="s">
        <v>382</v>
      </c>
      <c r="L971" t="s">
        <v>141</v>
      </c>
      <c r="M971" t="s">
        <v>6</v>
      </c>
    </row>
    <row r="972" spans="1:13" x14ac:dyDescent="0.25">
      <c r="A972" s="3" t="s">
        <v>140</v>
      </c>
      <c r="B972" s="4">
        <v>10</v>
      </c>
      <c r="C972" s="4"/>
      <c r="D972" s="4" t="s">
        <v>141</v>
      </c>
      <c r="E972" s="4" t="s">
        <v>6</v>
      </c>
      <c r="F972">
        <f>COUNTIFS($D$2:D972,D972)</f>
        <v>10</v>
      </c>
      <c r="G972" t="str">
        <f t="shared" si="15"/>
        <v>3871H</v>
      </c>
      <c r="H972">
        <v>5.4551077000000001</v>
      </c>
      <c r="I972">
        <v>52.174045300000003</v>
      </c>
      <c r="J972" t="s">
        <v>473</v>
      </c>
      <c r="K972" t="s">
        <v>264</v>
      </c>
      <c r="L972" t="s">
        <v>141</v>
      </c>
      <c r="M972" t="s">
        <v>6</v>
      </c>
    </row>
    <row r="973" spans="1:13" x14ac:dyDescent="0.25">
      <c r="A973" s="3" t="s">
        <v>140</v>
      </c>
      <c r="B973" s="4">
        <v>11</v>
      </c>
      <c r="C973" s="4"/>
      <c r="D973" s="4" t="s">
        <v>141</v>
      </c>
      <c r="E973" s="4" t="s">
        <v>6</v>
      </c>
      <c r="F973">
        <f>COUNTIFS($D$2:D973,D973)</f>
        <v>11</v>
      </c>
      <c r="G973" t="str">
        <f t="shared" si="15"/>
        <v>3871H</v>
      </c>
      <c r="H973">
        <v>5.4550049999999999</v>
      </c>
      <c r="I973">
        <v>52.173748699999997</v>
      </c>
      <c r="J973" t="s">
        <v>473</v>
      </c>
      <c r="K973" t="s">
        <v>391</v>
      </c>
      <c r="L973" t="s">
        <v>141</v>
      </c>
      <c r="M973" t="s">
        <v>6</v>
      </c>
    </row>
    <row r="974" spans="1:13" x14ac:dyDescent="0.25">
      <c r="A974" s="3" t="s">
        <v>140</v>
      </c>
      <c r="B974" s="4">
        <v>12</v>
      </c>
      <c r="C974" s="4"/>
      <c r="D974" s="4" t="s">
        <v>141</v>
      </c>
      <c r="E974" s="4" t="s">
        <v>6</v>
      </c>
      <c r="F974">
        <f>COUNTIFS($D$2:D974,D974)</f>
        <v>12</v>
      </c>
      <c r="G974" t="str">
        <f t="shared" si="15"/>
        <v>3871H</v>
      </c>
      <c r="H974">
        <v>5.4551223000000002</v>
      </c>
      <c r="I974">
        <v>52.173991299999997</v>
      </c>
      <c r="J974" t="s">
        <v>473</v>
      </c>
      <c r="K974" t="s">
        <v>265</v>
      </c>
      <c r="L974" t="s">
        <v>141</v>
      </c>
      <c r="M974" t="s">
        <v>6</v>
      </c>
    </row>
    <row r="975" spans="1:13" x14ac:dyDescent="0.25">
      <c r="A975" s="3" t="s">
        <v>140</v>
      </c>
      <c r="B975" s="4">
        <v>13</v>
      </c>
      <c r="C975" s="4"/>
      <c r="D975" s="4" t="s">
        <v>141</v>
      </c>
      <c r="E975" s="4" t="s">
        <v>6</v>
      </c>
      <c r="F975">
        <f>COUNTIFS($D$2:D975,D975)</f>
        <v>13</v>
      </c>
      <c r="G975" t="str">
        <f t="shared" si="15"/>
        <v>3871H</v>
      </c>
      <c r="H975">
        <v>5.4548148999999997</v>
      </c>
      <c r="I975">
        <v>52.173748799999998</v>
      </c>
      <c r="J975" t="s">
        <v>473</v>
      </c>
      <c r="K975" t="s">
        <v>359</v>
      </c>
      <c r="L975" t="s">
        <v>141</v>
      </c>
      <c r="M975" t="s">
        <v>6</v>
      </c>
    </row>
    <row r="976" spans="1:13" x14ac:dyDescent="0.25">
      <c r="A976" s="3" t="s">
        <v>140</v>
      </c>
      <c r="B976" s="4">
        <v>14</v>
      </c>
      <c r="C976" s="4"/>
      <c r="D976" s="4" t="s">
        <v>141</v>
      </c>
      <c r="E976" s="4" t="s">
        <v>6</v>
      </c>
      <c r="F976">
        <f>COUNTIFS($D$2:D976,D976)</f>
        <v>14</v>
      </c>
      <c r="G976" t="str">
        <f t="shared" si="15"/>
        <v>3871H</v>
      </c>
      <c r="H976">
        <v>5.4547860000000004</v>
      </c>
      <c r="I976">
        <v>52.1739915</v>
      </c>
      <c r="J976" t="s">
        <v>473</v>
      </c>
      <c r="K976" t="s">
        <v>266</v>
      </c>
      <c r="L976" t="s">
        <v>141</v>
      </c>
      <c r="M976" t="s">
        <v>6</v>
      </c>
    </row>
    <row r="977" spans="1:13" x14ac:dyDescent="0.25">
      <c r="A977" s="3" t="s">
        <v>140</v>
      </c>
      <c r="B977" s="4">
        <v>15</v>
      </c>
      <c r="C977" s="4"/>
      <c r="D977" s="4" t="s">
        <v>141</v>
      </c>
      <c r="E977" s="4" t="s">
        <v>6</v>
      </c>
      <c r="F977">
        <f>COUNTIFS($D$2:D977,D977)</f>
        <v>15</v>
      </c>
      <c r="G977" t="str">
        <f t="shared" si="15"/>
        <v>3871H</v>
      </c>
      <c r="H977">
        <v>5.4547271999999998</v>
      </c>
      <c r="I977">
        <v>52.1737489</v>
      </c>
      <c r="J977" t="s">
        <v>473</v>
      </c>
      <c r="K977" t="s">
        <v>383</v>
      </c>
      <c r="L977" t="s">
        <v>141</v>
      </c>
      <c r="M977" t="s">
        <v>6</v>
      </c>
    </row>
    <row r="978" spans="1:13" x14ac:dyDescent="0.25">
      <c r="A978" s="3" t="s">
        <v>140</v>
      </c>
      <c r="B978" s="4">
        <v>16</v>
      </c>
      <c r="C978" s="4"/>
      <c r="D978" s="4" t="s">
        <v>141</v>
      </c>
      <c r="E978" s="4" t="s">
        <v>6</v>
      </c>
      <c r="F978">
        <f>COUNTIFS($D$2:D978,D978)</f>
        <v>16</v>
      </c>
      <c r="G978" t="str">
        <f t="shared" si="15"/>
        <v>3871H</v>
      </c>
      <c r="H978">
        <v>5.4546837000000004</v>
      </c>
      <c r="I978">
        <v>52.173991600000001</v>
      </c>
      <c r="J978" t="s">
        <v>473</v>
      </c>
      <c r="K978" t="s">
        <v>371</v>
      </c>
      <c r="L978" t="s">
        <v>141</v>
      </c>
      <c r="M978" t="s">
        <v>6</v>
      </c>
    </row>
    <row r="979" spans="1:13" x14ac:dyDescent="0.25">
      <c r="A979" s="3" t="s">
        <v>142</v>
      </c>
      <c r="B979" s="4">
        <v>1</v>
      </c>
      <c r="C979" s="4"/>
      <c r="D979" s="4" t="s">
        <v>143</v>
      </c>
      <c r="E979" s="4" t="s">
        <v>6</v>
      </c>
      <c r="F979">
        <f>COUNTIFS($D$2:D979,D979)</f>
        <v>1</v>
      </c>
      <c r="G979" t="str">
        <f t="shared" si="15"/>
        <v>3871H</v>
      </c>
      <c r="H979">
        <v>5.4551794999999998</v>
      </c>
      <c r="I979">
        <v>52.173155399999999</v>
      </c>
      <c r="J979" t="s">
        <v>474</v>
      </c>
      <c r="K979" t="s">
        <v>355</v>
      </c>
      <c r="L979" t="s">
        <v>143</v>
      </c>
      <c r="M979" t="s">
        <v>6</v>
      </c>
    </row>
    <row r="980" spans="1:13" x14ac:dyDescent="0.25">
      <c r="A980" s="3" t="s">
        <v>142</v>
      </c>
      <c r="B980" s="4">
        <v>2</v>
      </c>
      <c r="C980" s="4"/>
      <c r="D980" s="4" t="s">
        <v>143</v>
      </c>
      <c r="E980" s="4" t="s">
        <v>6</v>
      </c>
      <c r="F980">
        <f>COUNTIFS($D$2:D980,D980)</f>
        <v>2</v>
      </c>
      <c r="G980" t="str">
        <f t="shared" si="15"/>
        <v>3871H</v>
      </c>
      <c r="H980">
        <v>5.4548728000000004</v>
      </c>
      <c r="I980">
        <v>52.173362300000001</v>
      </c>
      <c r="J980" t="s">
        <v>474</v>
      </c>
      <c r="K980" t="s">
        <v>370</v>
      </c>
      <c r="L980" t="s">
        <v>143</v>
      </c>
      <c r="M980" t="s">
        <v>6</v>
      </c>
    </row>
    <row r="981" spans="1:13" x14ac:dyDescent="0.25">
      <c r="A981" s="3" t="s">
        <v>142</v>
      </c>
      <c r="B981" s="4">
        <v>3</v>
      </c>
      <c r="C981" s="4"/>
      <c r="D981" s="4" t="s">
        <v>143</v>
      </c>
      <c r="E981" s="4" t="s">
        <v>6</v>
      </c>
      <c r="F981">
        <f>COUNTIFS($D$2:D981,D981)</f>
        <v>3</v>
      </c>
      <c r="G981" t="str">
        <f t="shared" si="15"/>
        <v>3871H</v>
      </c>
      <c r="H981">
        <v>5.4550917999999999</v>
      </c>
      <c r="I981">
        <v>52.1731555</v>
      </c>
      <c r="J981" t="s">
        <v>474</v>
      </c>
      <c r="K981" t="s">
        <v>356</v>
      </c>
      <c r="L981" t="s">
        <v>143</v>
      </c>
      <c r="M981" t="s">
        <v>6</v>
      </c>
    </row>
    <row r="982" spans="1:13" x14ac:dyDescent="0.25">
      <c r="A982" s="3" t="s">
        <v>142</v>
      </c>
      <c r="B982" s="4">
        <v>4</v>
      </c>
      <c r="C982" s="4"/>
      <c r="D982" s="4" t="s">
        <v>143</v>
      </c>
      <c r="E982" s="4" t="s">
        <v>6</v>
      </c>
      <c r="F982">
        <f>COUNTIFS($D$2:D982,D982)</f>
        <v>4</v>
      </c>
      <c r="G982" t="str">
        <f t="shared" si="15"/>
        <v>3871H</v>
      </c>
      <c r="H982">
        <v>5.4547705000000004</v>
      </c>
      <c r="I982">
        <v>52.173362400000002</v>
      </c>
      <c r="J982" t="s">
        <v>474</v>
      </c>
      <c r="K982" t="s">
        <v>260</v>
      </c>
      <c r="L982" t="s">
        <v>143</v>
      </c>
      <c r="M982" t="s">
        <v>6</v>
      </c>
    </row>
    <row r="983" spans="1:13" x14ac:dyDescent="0.25">
      <c r="A983" s="3" t="s">
        <v>142</v>
      </c>
      <c r="B983" s="4">
        <v>5</v>
      </c>
      <c r="C983" s="4"/>
      <c r="D983" s="4" t="s">
        <v>143</v>
      </c>
      <c r="E983" s="4" t="s">
        <v>6</v>
      </c>
      <c r="F983">
        <f>COUNTIFS($D$2:D983,D983)</f>
        <v>5</v>
      </c>
      <c r="G983" t="str">
        <f t="shared" si="15"/>
        <v>3871H</v>
      </c>
      <c r="H983">
        <v>5.4549016999999997</v>
      </c>
      <c r="I983">
        <v>52.173146600000003</v>
      </c>
      <c r="J983" t="s">
        <v>474</v>
      </c>
      <c r="K983" t="s">
        <v>357</v>
      </c>
      <c r="L983" t="s">
        <v>143</v>
      </c>
      <c r="M983" t="s">
        <v>6</v>
      </c>
    </row>
    <row r="984" spans="1:13" x14ac:dyDescent="0.25">
      <c r="A984" s="3" t="s">
        <v>142</v>
      </c>
      <c r="B984" s="4">
        <v>7</v>
      </c>
      <c r="C984" s="4"/>
      <c r="D984" s="4" t="s">
        <v>143</v>
      </c>
      <c r="E984" s="4" t="s">
        <v>6</v>
      </c>
      <c r="F984">
        <f>COUNTIFS($D$2:D984,D984)</f>
        <v>6</v>
      </c>
      <c r="G984" t="str">
        <f t="shared" si="15"/>
        <v>3871H</v>
      </c>
      <c r="H984">
        <v>5.4548139999999998</v>
      </c>
      <c r="I984">
        <v>52.173137599999997</v>
      </c>
      <c r="J984" t="s">
        <v>474</v>
      </c>
      <c r="K984" t="s">
        <v>358</v>
      </c>
      <c r="L984" t="s">
        <v>143</v>
      </c>
      <c r="M984" t="s">
        <v>6</v>
      </c>
    </row>
    <row r="985" spans="1:13" x14ac:dyDescent="0.25">
      <c r="A985" s="3" t="s">
        <v>144</v>
      </c>
      <c r="B985" s="4">
        <v>1</v>
      </c>
      <c r="C985" s="4"/>
      <c r="D985" s="4" t="s">
        <v>145</v>
      </c>
      <c r="E985" s="4" t="s">
        <v>6</v>
      </c>
      <c r="F985">
        <f>COUNTIFS($D$2:D985,D985)</f>
        <v>1</v>
      </c>
      <c r="G985" t="str">
        <f t="shared" si="15"/>
        <v>3871H</v>
      </c>
      <c r="H985">
        <v>5.4556915000000004</v>
      </c>
      <c r="I985">
        <v>52.173370800000001</v>
      </c>
      <c r="J985" t="s">
        <v>475</v>
      </c>
      <c r="K985" t="s">
        <v>355</v>
      </c>
      <c r="L985" t="s">
        <v>145</v>
      </c>
      <c r="M985" t="s">
        <v>6</v>
      </c>
    </row>
    <row r="986" spans="1:13" x14ac:dyDescent="0.25">
      <c r="A986" s="3" t="s">
        <v>144</v>
      </c>
      <c r="B986" s="4">
        <v>2</v>
      </c>
      <c r="C986" s="4"/>
      <c r="D986" s="4" t="s">
        <v>145</v>
      </c>
      <c r="E986" s="4" t="s">
        <v>6</v>
      </c>
      <c r="F986">
        <f>COUNTIFS($D$2:D986,D986)</f>
        <v>2</v>
      </c>
      <c r="G986" t="str">
        <f t="shared" si="15"/>
        <v>3871H</v>
      </c>
      <c r="H986">
        <v>5.4562182000000004</v>
      </c>
      <c r="I986">
        <v>52.173712100000003</v>
      </c>
      <c r="J986" t="s">
        <v>475</v>
      </c>
      <c r="K986" t="s">
        <v>370</v>
      </c>
      <c r="L986" t="s">
        <v>145</v>
      </c>
      <c r="M986" t="s">
        <v>6</v>
      </c>
    </row>
    <row r="987" spans="1:13" x14ac:dyDescent="0.25">
      <c r="A987" s="3" t="s">
        <v>144</v>
      </c>
      <c r="B987" s="4">
        <v>3</v>
      </c>
      <c r="C987" s="4"/>
      <c r="D987" s="4" t="s">
        <v>145</v>
      </c>
      <c r="E987" s="4" t="s">
        <v>6</v>
      </c>
      <c r="F987">
        <f>COUNTIFS($D$2:D987,D987)</f>
        <v>3</v>
      </c>
      <c r="G987" t="str">
        <f t="shared" si="15"/>
        <v>3871H</v>
      </c>
      <c r="H987">
        <v>5.4557060000000002</v>
      </c>
      <c r="I987">
        <v>52.173316900000003</v>
      </c>
      <c r="J987" t="s">
        <v>475</v>
      </c>
      <c r="K987" t="s">
        <v>356</v>
      </c>
      <c r="L987" t="s">
        <v>145</v>
      </c>
      <c r="M987" t="s">
        <v>6</v>
      </c>
    </row>
    <row r="988" spans="1:13" x14ac:dyDescent="0.25">
      <c r="A988" s="3" t="s">
        <v>144</v>
      </c>
      <c r="B988" s="4">
        <v>4</v>
      </c>
      <c r="C988" s="4"/>
      <c r="D988" s="4" t="s">
        <v>145</v>
      </c>
      <c r="E988" s="4" t="s">
        <v>6</v>
      </c>
      <c r="F988">
        <f>COUNTIFS($D$2:D988,D988)</f>
        <v>4</v>
      </c>
      <c r="G988" t="str">
        <f t="shared" si="15"/>
        <v>3871H</v>
      </c>
      <c r="H988">
        <v>5.4561159000000004</v>
      </c>
      <c r="I988">
        <v>52.173703099999997</v>
      </c>
      <c r="J988" t="s">
        <v>475</v>
      </c>
      <c r="K988" t="s">
        <v>260</v>
      </c>
      <c r="L988" t="s">
        <v>145</v>
      </c>
      <c r="M988" t="s">
        <v>6</v>
      </c>
    </row>
    <row r="989" spans="1:13" x14ac:dyDescent="0.25">
      <c r="A989" s="3" t="s">
        <v>144</v>
      </c>
      <c r="B989" s="4">
        <v>5</v>
      </c>
      <c r="C989" s="4"/>
      <c r="D989" s="4" t="s">
        <v>145</v>
      </c>
      <c r="E989" s="4" t="s">
        <v>6</v>
      </c>
      <c r="F989">
        <f>COUNTIFS($D$2:D989,D989)</f>
        <v>5</v>
      </c>
      <c r="G989" t="str">
        <f t="shared" si="15"/>
        <v>3871H</v>
      </c>
      <c r="H989">
        <v>5.4557203999999997</v>
      </c>
      <c r="I989">
        <v>52.173209</v>
      </c>
      <c r="J989" t="s">
        <v>475</v>
      </c>
      <c r="K989" t="s">
        <v>357</v>
      </c>
      <c r="L989" t="s">
        <v>145</v>
      </c>
      <c r="M989" t="s">
        <v>6</v>
      </c>
    </row>
    <row r="990" spans="1:13" x14ac:dyDescent="0.25">
      <c r="A990" s="3" t="s">
        <v>144</v>
      </c>
      <c r="B990" s="4">
        <v>6</v>
      </c>
      <c r="C990" s="4"/>
      <c r="D990" s="4" t="s">
        <v>145</v>
      </c>
      <c r="E990" s="4" t="s">
        <v>6</v>
      </c>
      <c r="F990">
        <f>COUNTIFS($D$2:D990,D990)</f>
        <v>6</v>
      </c>
      <c r="G990" t="str">
        <f t="shared" si="15"/>
        <v>3871H</v>
      </c>
      <c r="H990">
        <v>5.4559259000000004</v>
      </c>
      <c r="I990">
        <v>52.173703199999999</v>
      </c>
      <c r="J990" t="s">
        <v>475</v>
      </c>
      <c r="K990" t="s">
        <v>262</v>
      </c>
      <c r="L990" t="s">
        <v>145</v>
      </c>
      <c r="M990" t="s">
        <v>6</v>
      </c>
    </row>
    <row r="991" spans="1:13" x14ac:dyDescent="0.25">
      <c r="A991" s="3" t="s">
        <v>144</v>
      </c>
      <c r="B991" s="4">
        <v>7</v>
      </c>
      <c r="C991" s="4"/>
      <c r="D991" s="4" t="s">
        <v>145</v>
      </c>
      <c r="E991" s="4" t="s">
        <v>6</v>
      </c>
      <c r="F991">
        <f>COUNTIFS($D$2:D991,D991)</f>
        <v>7</v>
      </c>
      <c r="G991" t="str">
        <f t="shared" si="15"/>
        <v>3871H</v>
      </c>
      <c r="H991">
        <v>5.4557203000000003</v>
      </c>
      <c r="I991">
        <v>52.173146099999997</v>
      </c>
      <c r="J991" t="s">
        <v>475</v>
      </c>
      <c r="K991" t="s">
        <v>358</v>
      </c>
      <c r="L991" t="s">
        <v>145</v>
      </c>
      <c r="M991" t="s">
        <v>6</v>
      </c>
    </row>
    <row r="992" spans="1:13" x14ac:dyDescent="0.25">
      <c r="A992" s="3" t="s">
        <v>144</v>
      </c>
      <c r="B992" s="4">
        <v>8</v>
      </c>
      <c r="C992" s="4"/>
      <c r="D992" s="4" t="s">
        <v>145</v>
      </c>
      <c r="E992" s="4" t="s">
        <v>6</v>
      </c>
      <c r="F992">
        <f>COUNTIFS($D$2:D992,D992)</f>
        <v>8</v>
      </c>
      <c r="G992" t="str">
        <f t="shared" si="15"/>
        <v>3871H</v>
      </c>
      <c r="H992">
        <v>5.4558381000000002</v>
      </c>
      <c r="I992">
        <v>52.173694300000001</v>
      </c>
      <c r="J992" t="s">
        <v>475</v>
      </c>
      <c r="K992" t="s">
        <v>263</v>
      </c>
      <c r="L992" t="s">
        <v>145</v>
      </c>
      <c r="M992" t="s">
        <v>6</v>
      </c>
    </row>
    <row r="993" spans="1:13" x14ac:dyDescent="0.25">
      <c r="A993" s="3" t="s">
        <v>144</v>
      </c>
      <c r="B993" s="4">
        <v>10</v>
      </c>
      <c r="C993" s="4"/>
      <c r="D993" s="4" t="s">
        <v>145</v>
      </c>
      <c r="E993" s="4" t="s">
        <v>6</v>
      </c>
      <c r="F993">
        <f>COUNTIFS($D$2:D993,D993)</f>
        <v>9</v>
      </c>
      <c r="G993" t="str">
        <f t="shared" si="15"/>
        <v>3871H</v>
      </c>
      <c r="H993">
        <v>5.4556335000000002</v>
      </c>
      <c r="I993">
        <v>52.173685399999997</v>
      </c>
      <c r="J993" t="s">
        <v>475</v>
      </c>
      <c r="K993" t="s">
        <v>264</v>
      </c>
      <c r="L993" t="s">
        <v>145</v>
      </c>
      <c r="M993" t="s">
        <v>6</v>
      </c>
    </row>
    <row r="994" spans="1:13" x14ac:dyDescent="0.25">
      <c r="A994" s="3" t="s">
        <v>144</v>
      </c>
      <c r="B994" s="4">
        <v>12</v>
      </c>
      <c r="C994" s="4"/>
      <c r="D994" s="4" t="s">
        <v>145</v>
      </c>
      <c r="E994" s="4" t="s">
        <v>6</v>
      </c>
      <c r="F994">
        <f>COUNTIFS($D$2:D994,D994)</f>
        <v>10</v>
      </c>
      <c r="G994" t="str">
        <f t="shared" si="15"/>
        <v>3871H</v>
      </c>
      <c r="H994">
        <v>5.4555164999999999</v>
      </c>
      <c r="I994">
        <v>52.173676499999999</v>
      </c>
      <c r="J994" t="s">
        <v>475</v>
      </c>
      <c r="K994" t="s">
        <v>265</v>
      </c>
      <c r="L994" t="s">
        <v>145</v>
      </c>
      <c r="M994" t="s">
        <v>6</v>
      </c>
    </row>
    <row r="995" spans="1:13" x14ac:dyDescent="0.25">
      <c r="A995" s="3" t="s">
        <v>144</v>
      </c>
      <c r="B995" s="4">
        <v>14</v>
      </c>
      <c r="C995" s="4"/>
      <c r="D995" s="4" t="s">
        <v>145</v>
      </c>
      <c r="E995" s="4" t="s">
        <v>6</v>
      </c>
      <c r="F995">
        <f>COUNTIFS($D$2:D995,D995)</f>
        <v>11</v>
      </c>
      <c r="G995" t="str">
        <f t="shared" si="15"/>
        <v>3871H</v>
      </c>
      <c r="H995">
        <v>5.4551654000000003</v>
      </c>
      <c r="I995">
        <v>52.173541899999996</v>
      </c>
      <c r="J995" t="s">
        <v>475</v>
      </c>
      <c r="K995" t="s">
        <v>266</v>
      </c>
      <c r="L995" t="s">
        <v>145</v>
      </c>
      <c r="M995" t="s">
        <v>6</v>
      </c>
    </row>
    <row r="996" spans="1:13" x14ac:dyDescent="0.25">
      <c r="A996" s="3" t="s">
        <v>144</v>
      </c>
      <c r="B996" s="4">
        <v>16</v>
      </c>
      <c r="C996" s="4"/>
      <c r="D996" s="4" t="s">
        <v>145</v>
      </c>
      <c r="E996" s="4" t="s">
        <v>6</v>
      </c>
      <c r="F996">
        <f>COUNTIFS($D$2:D996,D996)</f>
        <v>12</v>
      </c>
      <c r="G996" t="str">
        <f t="shared" si="15"/>
        <v>3871H</v>
      </c>
      <c r="H996">
        <v>5.4551653</v>
      </c>
      <c r="I996">
        <v>52.173479</v>
      </c>
      <c r="J996" t="s">
        <v>475</v>
      </c>
      <c r="K996" t="s">
        <v>371</v>
      </c>
      <c r="L996" t="s">
        <v>145</v>
      </c>
      <c r="M996" t="s">
        <v>6</v>
      </c>
    </row>
    <row r="997" spans="1:13" x14ac:dyDescent="0.25">
      <c r="A997" s="3" t="s">
        <v>144</v>
      </c>
      <c r="B997" s="4">
        <v>18</v>
      </c>
      <c r="C997" s="4"/>
      <c r="D997" s="4" t="s">
        <v>145</v>
      </c>
      <c r="E997" s="4" t="s">
        <v>6</v>
      </c>
      <c r="F997">
        <f>COUNTIFS($D$2:D997,D997)</f>
        <v>13</v>
      </c>
      <c r="G997" t="str">
        <f t="shared" si="15"/>
        <v>3871H</v>
      </c>
      <c r="H997">
        <v>5.4551799000000001</v>
      </c>
      <c r="I997">
        <v>52.173425100000003</v>
      </c>
      <c r="J997" t="s">
        <v>475</v>
      </c>
      <c r="K997" t="s">
        <v>267</v>
      </c>
      <c r="L997" t="s">
        <v>145</v>
      </c>
      <c r="M997" t="s">
        <v>6</v>
      </c>
    </row>
    <row r="998" spans="1:13" x14ac:dyDescent="0.25">
      <c r="A998" s="3" t="s">
        <v>144</v>
      </c>
      <c r="B998" s="4">
        <v>20</v>
      </c>
      <c r="C998" s="4"/>
      <c r="D998" s="4" t="s">
        <v>145</v>
      </c>
      <c r="E998" s="4" t="s">
        <v>6</v>
      </c>
      <c r="F998">
        <f>COUNTIFS($D$2:D998,D998)</f>
        <v>14</v>
      </c>
      <c r="G998" t="str">
        <f t="shared" si="15"/>
        <v>3871H</v>
      </c>
      <c r="H998">
        <v>5.4551797999999998</v>
      </c>
      <c r="I998">
        <v>52.173371099999997</v>
      </c>
      <c r="J998" t="s">
        <v>475</v>
      </c>
      <c r="K998" t="s">
        <v>372</v>
      </c>
      <c r="L998" t="s">
        <v>145</v>
      </c>
      <c r="M998" t="s">
        <v>6</v>
      </c>
    </row>
    <row r="999" spans="1:13" x14ac:dyDescent="0.25">
      <c r="A999" s="3" t="s">
        <v>146</v>
      </c>
      <c r="B999" s="4">
        <v>2</v>
      </c>
      <c r="C999" s="4"/>
      <c r="D999" s="4" t="s">
        <v>147</v>
      </c>
      <c r="E999" s="4" t="s">
        <v>6</v>
      </c>
      <c r="F999">
        <f>COUNTIFS($D$2:D999,D999)</f>
        <v>1</v>
      </c>
      <c r="G999" t="str">
        <f t="shared" si="15"/>
        <v>3871H</v>
      </c>
      <c r="H999">
        <v>5.4569481</v>
      </c>
      <c r="I999">
        <v>52.173001599999999</v>
      </c>
      <c r="J999" t="s">
        <v>476</v>
      </c>
      <c r="K999" t="s">
        <v>370</v>
      </c>
      <c r="L999" t="s">
        <v>147</v>
      </c>
      <c r="M999" t="s">
        <v>6</v>
      </c>
    </row>
    <row r="1000" spans="1:13" x14ac:dyDescent="0.25">
      <c r="A1000" s="3" t="s">
        <v>146</v>
      </c>
      <c r="B1000" s="4">
        <v>4</v>
      </c>
      <c r="C1000" s="4"/>
      <c r="D1000" s="4" t="s">
        <v>147</v>
      </c>
      <c r="E1000" s="4" t="s">
        <v>6</v>
      </c>
      <c r="F1000">
        <f>COUNTIFS($D$2:D1000,D1000)</f>
        <v>2</v>
      </c>
      <c r="G1000" t="str">
        <f t="shared" si="15"/>
        <v>3871H</v>
      </c>
      <c r="H1000">
        <v>5.4567433999999997</v>
      </c>
      <c r="I1000">
        <v>52.172992700000002</v>
      </c>
      <c r="J1000" t="s">
        <v>476</v>
      </c>
      <c r="K1000" t="s">
        <v>260</v>
      </c>
      <c r="L1000" t="s">
        <v>147</v>
      </c>
      <c r="M1000" t="s">
        <v>6</v>
      </c>
    </row>
    <row r="1001" spans="1:13" x14ac:dyDescent="0.25">
      <c r="A1001" s="3" t="s">
        <v>146</v>
      </c>
      <c r="B1001" s="4">
        <v>6</v>
      </c>
      <c r="C1001" s="4"/>
      <c r="D1001" s="4" t="s">
        <v>147</v>
      </c>
      <c r="E1001" s="4" t="s">
        <v>6</v>
      </c>
      <c r="F1001">
        <f>COUNTIFS($D$2:D1001,D1001)</f>
        <v>3</v>
      </c>
      <c r="G1001" t="str">
        <f t="shared" si="15"/>
        <v>3871H</v>
      </c>
      <c r="H1001">
        <v>5.4562901999999998</v>
      </c>
      <c r="I1001">
        <v>52.172966000000002</v>
      </c>
      <c r="J1001" t="s">
        <v>476</v>
      </c>
      <c r="K1001" t="s">
        <v>262</v>
      </c>
      <c r="L1001" t="s">
        <v>147</v>
      </c>
      <c r="M1001" t="s">
        <v>6</v>
      </c>
    </row>
    <row r="1002" spans="1:13" x14ac:dyDescent="0.25">
      <c r="A1002" s="3" t="s">
        <v>146</v>
      </c>
      <c r="B1002" s="4">
        <v>8</v>
      </c>
      <c r="C1002" s="4"/>
      <c r="D1002" s="4" t="s">
        <v>147</v>
      </c>
      <c r="E1002" s="4" t="s">
        <v>6</v>
      </c>
      <c r="F1002">
        <f>COUNTIFS($D$2:D1002,D1002)</f>
        <v>4</v>
      </c>
      <c r="G1002" t="str">
        <f t="shared" si="15"/>
        <v>3871H</v>
      </c>
      <c r="H1002">
        <v>5.4562024999999998</v>
      </c>
      <c r="I1002">
        <v>52.172966099999996</v>
      </c>
      <c r="J1002" t="s">
        <v>476</v>
      </c>
      <c r="K1002" t="s">
        <v>263</v>
      </c>
      <c r="L1002" t="s">
        <v>147</v>
      </c>
      <c r="M1002" t="s">
        <v>6</v>
      </c>
    </row>
    <row r="1003" spans="1:13" x14ac:dyDescent="0.25">
      <c r="A1003" s="3" t="s">
        <v>146</v>
      </c>
      <c r="B1003" s="4">
        <v>10</v>
      </c>
      <c r="C1003" s="4"/>
      <c r="D1003" s="4" t="s">
        <v>147</v>
      </c>
      <c r="E1003" s="4" t="s">
        <v>6</v>
      </c>
      <c r="F1003">
        <f>COUNTIFS($D$2:D1003,D1003)</f>
        <v>5</v>
      </c>
      <c r="G1003" t="str">
        <f t="shared" si="15"/>
        <v>3871H</v>
      </c>
      <c r="H1003">
        <v>5.4559977999999996</v>
      </c>
      <c r="I1003">
        <v>52.1729482</v>
      </c>
      <c r="J1003" t="s">
        <v>476</v>
      </c>
      <c r="K1003" t="s">
        <v>264</v>
      </c>
      <c r="L1003" t="s">
        <v>147</v>
      </c>
      <c r="M1003" t="s">
        <v>6</v>
      </c>
    </row>
    <row r="1004" spans="1:13" x14ac:dyDescent="0.25">
      <c r="A1004" s="3" t="s">
        <v>146</v>
      </c>
      <c r="B1004" s="4">
        <v>12</v>
      </c>
      <c r="C1004" s="4"/>
      <c r="D1004" s="4" t="s">
        <v>147</v>
      </c>
      <c r="E1004" s="4" t="s">
        <v>6</v>
      </c>
      <c r="F1004">
        <f>COUNTIFS($D$2:D1004,D1004)</f>
        <v>6</v>
      </c>
      <c r="G1004" t="str">
        <f t="shared" si="15"/>
        <v>3871H</v>
      </c>
      <c r="H1004">
        <v>5.4558954999999996</v>
      </c>
      <c r="I1004">
        <v>52.172948300000002</v>
      </c>
      <c r="J1004" t="s">
        <v>476</v>
      </c>
      <c r="K1004" t="s">
        <v>265</v>
      </c>
      <c r="L1004" t="s">
        <v>147</v>
      </c>
      <c r="M1004" t="s">
        <v>6</v>
      </c>
    </row>
    <row r="1005" spans="1:13" x14ac:dyDescent="0.25">
      <c r="A1005" s="3" t="s">
        <v>146</v>
      </c>
      <c r="B1005" s="4">
        <v>14</v>
      </c>
      <c r="C1005" s="4"/>
      <c r="D1005" s="4" t="s">
        <v>147</v>
      </c>
      <c r="E1005" s="4" t="s">
        <v>6</v>
      </c>
      <c r="F1005">
        <f>COUNTIFS($D$2:D1005,D1005)</f>
        <v>7</v>
      </c>
      <c r="G1005" t="str">
        <f t="shared" si="15"/>
        <v>3871H</v>
      </c>
      <c r="H1005">
        <v>5.4556908000000002</v>
      </c>
      <c r="I1005">
        <v>52.172939399999997</v>
      </c>
      <c r="J1005" t="s">
        <v>476</v>
      </c>
      <c r="K1005" t="s">
        <v>266</v>
      </c>
      <c r="L1005" t="s">
        <v>147</v>
      </c>
      <c r="M1005" t="s">
        <v>6</v>
      </c>
    </row>
    <row r="1006" spans="1:13" x14ac:dyDescent="0.25">
      <c r="A1006" s="3" t="s">
        <v>146</v>
      </c>
      <c r="B1006" s="4">
        <v>16</v>
      </c>
      <c r="C1006" s="4"/>
      <c r="D1006" s="4" t="s">
        <v>147</v>
      </c>
      <c r="E1006" s="4" t="s">
        <v>6</v>
      </c>
      <c r="F1006">
        <f>COUNTIFS($D$2:D1006,D1006)</f>
        <v>8</v>
      </c>
      <c r="G1006" t="str">
        <f t="shared" si="15"/>
        <v>3871H</v>
      </c>
      <c r="H1006">
        <v>5.4556177000000003</v>
      </c>
      <c r="I1006">
        <v>52.172939499999998</v>
      </c>
      <c r="J1006" t="s">
        <v>476</v>
      </c>
      <c r="K1006" t="s">
        <v>371</v>
      </c>
      <c r="L1006" t="s">
        <v>147</v>
      </c>
      <c r="M1006" t="s">
        <v>6</v>
      </c>
    </row>
    <row r="1007" spans="1:13" x14ac:dyDescent="0.25">
      <c r="A1007" s="3" t="s">
        <v>146</v>
      </c>
      <c r="B1007" s="4">
        <v>18</v>
      </c>
      <c r="C1007" s="4"/>
      <c r="D1007" s="4" t="s">
        <v>147</v>
      </c>
      <c r="E1007" s="4" t="s">
        <v>6</v>
      </c>
      <c r="F1007">
        <f>COUNTIFS($D$2:D1007,D1007)</f>
        <v>9</v>
      </c>
      <c r="G1007" t="str">
        <f t="shared" si="15"/>
        <v>3871H</v>
      </c>
      <c r="H1007">
        <v>5.4551892000000004</v>
      </c>
      <c r="I1007">
        <v>52.172947899999997</v>
      </c>
      <c r="J1007" t="s">
        <v>476</v>
      </c>
      <c r="K1007" t="s">
        <v>267</v>
      </c>
      <c r="L1007" t="s">
        <v>147</v>
      </c>
      <c r="M1007" t="s">
        <v>6</v>
      </c>
    </row>
    <row r="1008" spans="1:13" x14ac:dyDescent="0.25">
      <c r="A1008" s="3" t="s">
        <v>146</v>
      </c>
      <c r="B1008" s="4">
        <v>20</v>
      </c>
      <c r="C1008" s="4"/>
      <c r="D1008" s="4" t="s">
        <v>147</v>
      </c>
      <c r="E1008" s="4" t="s">
        <v>6</v>
      </c>
      <c r="F1008">
        <f>COUNTIFS($D$2:D1008,D1008)</f>
        <v>10</v>
      </c>
      <c r="G1008" t="str">
        <f t="shared" si="15"/>
        <v>3871H</v>
      </c>
      <c r="H1008">
        <v>5.4550343000000003</v>
      </c>
      <c r="I1008">
        <v>52.173002099999998</v>
      </c>
      <c r="J1008" t="s">
        <v>476</v>
      </c>
      <c r="K1008" t="s">
        <v>372</v>
      </c>
      <c r="L1008" t="s">
        <v>147</v>
      </c>
      <c r="M1008" t="s">
        <v>6</v>
      </c>
    </row>
    <row r="1009" spans="1:13" x14ac:dyDescent="0.25">
      <c r="A1009" s="3" t="s">
        <v>146</v>
      </c>
      <c r="B1009" s="4">
        <v>22</v>
      </c>
      <c r="C1009" s="4"/>
      <c r="D1009" s="4" t="s">
        <v>147</v>
      </c>
      <c r="E1009" s="4" t="s">
        <v>6</v>
      </c>
      <c r="F1009">
        <f>COUNTIFS($D$2:D1009,D1009)</f>
        <v>11</v>
      </c>
      <c r="G1009" t="str">
        <f t="shared" si="15"/>
        <v>3871H</v>
      </c>
      <c r="H1009">
        <v>5.4549159999999999</v>
      </c>
      <c r="I1009">
        <v>52.1729129</v>
      </c>
      <c r="J1009" t="s">
        <v>476</v>
      </c>
      <c r="K1009" t="s">
        <v>269</v>
      </c>
      <c r="L1009" t="s">
        <v>147</v>
      </c>
      <c r="M1009" t="s">
        <v>6</v>
      </c>
    </row>
    <row r="1010" spans="1:13" x14ac:dyDescent="0.25">
      <c r="A1010" s="3" t="s">
        <v>146</v>
      </c>
      <c r="B1010" s="4">
        <v>24</v>
      </c>
      <c r="C1010" s="4"/>
      <c r="D1010" s="4" t="s">
        <v>147</v>
      </c>
      <c r="E1010" s="4" t="s">
        <v>6</v>
      </c>
      <c r="F1010">
        <f>COUNTIFS($D$2:D1010,D1010)</f>
        <v>12</v>
      </c>
      <c r="G1010" t="str">
        <f t="shared" si="15"/>
        <v>3871H</v>
      </c>
      <c r="H1010">
        <v>5.4548281999999997</v>
      </c>
      <c r="I1010">
        <v>52.172904000000003</v>
      </c>
      <c r="J1010" t="s">
        <v>476</v>
      </c>
      <c r="K1010" t="s">
        <v>270</v>
      </c>
      <c r="L1010" t="s">
        <v>147</v>
      </c>
      <c r="M1010" t="s">
        <v>6</v>
      </c>
    </row>
    <row r="1011" spans="1:13" x14ac:dyDescent="0.25">
      <c r="A1011" s="3" t="s">
        <v>148</v>
      </c>
      <c r="B1011" s="4">
        <v>1</v>
      </c>
      <c r="C1011" s="4" t="s">
        <v>8</v>
      </c>
      <c r="D1011" s="4" t="s">
        <v>149</v>
      </c>
      <c r="E1011" s="4" t="s">
        <v>6</v>
      </c>
      <c r="F1011">
        <f>COUNTIFS($D$2:D1011,D1011)</f>
        <v>1</v>
      </c>
      <c r="G1011" t="str">
        <f t="shared" si="15"/>
        <v>3871H</v>
      </c>
      <c r="H1011">
        <v>5.4566429000000003</v>
      </c>
      <c r="I1011">
        <v>52.174188200000003</v>
      </c>
      <c r="J1011" t="s">
        <v>477</v>
      </c>
      <c r="K1011" t="s">
        <v>400</v>
      </c>
      <c r="L1011" t="s">
        <v>149</v>
      </c>
      <c r="M1011" t="s">
        <v>6</v>
      </c>
    </row>
    <row r="1012" spans="1:13" x14ac:dyDescent="0.25">
      <c r="A1012" s="3" t="s">
        <v>148</v>
      </c>
      <c r="B1012" s="4">
        <v>1</v>
      </c>
      <c r="C1012" s="4"/>
      <c r="D1012" s="4" t="s">
        <v>149</v>
      </c>
      <c r="E1012" s="4" t="s">
        <v>6</v>
      </c>
      <c r="F1012">
        <f>COUNTIFS($D$2:D1012,D1012)</f>
        <v>2</v>
      </c>
      <c r="G1012" t="str">
        <f t="shared" si="15"/>
        <v>3871H</v>
      </c>
      <c r="H1012">
        <v>5.4565701000000004</v>
      </c>
      <c r="I1012">
        <v>52.174359000000003</v>
      </c>
      <c r="J1012" t="s">
        <v>477</v>
      </c>
      <c r="K1012" t="s">
        <v>355</v>
      </c>
      <c r="L1012" t="s">
        <v>149</v>
      </c>
      <c r="M1012" t="s">
        <v>6</v>
      </c>
    </row>
    <row r="1013" spans="1:13" x14ac:dyDescent="0.25">
      <c r="A1013" s="3" t="s">
        <v>148</v>
      </c>
      <c r="B1013" s="4">
        <v>2</v>
      </c>
      <c r="C1013" s="4"/>
      <c r="D1013" s="4" t="s">
        <v>149</v>
      </c>
      <c r="E1013" s="4" t="s">
        <v>6</v>
      </c>
      <c r="F1013">
        <f>COUNTIFS($D$2:D1013,D1013)</f>
        <v>3</v>
      </c>
      <c r="G1013" t="str">
        <f t="shared" si="15"/>
        <v>3871H</v>
      </c>
      <c r="H1013">
        <v>5.4561457999999998</v>
      </c>
      <c r="I1013">
        <v>52.174134500000001</v>
      </c>
      <c r="J1013" t="s">
        <v>477</v>
      </c>
      <c r="K1013" t="s">
        <v>370</v>
      </c>
      <c r="L1013" t="s">
        <v>149</v>
      </c>
      <c r="M1013" t="s">
        <v>6</v>
      </c>
    </row>
    <row r="1014" spans="1:13" x14ac:dyDescent="0.25">
      <c r="A1014" s="3" t="s">
        <v>148</v>
      </c>
      <c r="B1014" s="4">
        <v>3</v>
      </c>
      <c r="C1014" s="4"/>
      <c r="D1014" s="4" t="s">
        <v>149</v>
      </c>
      <c r="E1014" s="4" t="s">
        <v>6</v>
      </c>
      <c r="F1014">
        <f>COUNTIFS($D$2:D1014,D1014)</f>
        <v>4</v>
      </c>
      <c r="G1014" t="str">
        <f t="shared" si="15"/>
        <v>3871H</v>
      </c>
      <c r="H1014">
        <v>5.4566428</v>
      </c>
      <c r="I1014">
        <v>52.1741253</v>
      </c>
      <c r="J1014" t="s">
        <v>477</v>
      </c>
      <c r="K1014" t="s">
        <v>356</v>
      </c>
      <c r="L1014" t="s">
        <v>149</v>
      </c>
      <c r="M1014" t="s">
        <v>6</v>
      </c>
    </row>
    <row r="1015" spans="1:13" x14ac:dyDescent="0.25">
      <c r="A1015" s="3" t="s">
        <v>148</v>
      </c>
      <c r="B1015" s="4">
        <v>4</v>
      </c>
      <c r="C1015" s="4"/>
      <c r="D1015" s="4" t="s">
        <v>149</v>
      </c>
      <c r="E1015" s="4" t="s">
        <v>6</v>
      </c>
      <c r="F1015">
        <f>COUNTIFS($D$2:D1015,D1015)</f>
        <v>5</v>
      </c>
      <c r="G1015" t="str">
        <f t="shared" si="15"/>
        <v>3871H</v>
      </c>
      <c r="H1015">
        <v>5.4561457000000004</v>
      </c>
      <c r="I1015">
        <v>52.174080600000003</v>
      </c>
      <c r="J1015" t="s">
        <v>477</v>
      </c>
      <c r="K1015" t="s">
        <v>260</v>
      </c>
      <c r="L1015" t="s">
        <v>149</v>
      </c>
      <c r="M1015" t="s">
        <v>6</v>
      </c>
    </row>
    <row r="1016" spans="1:13" x14ac:dyDescent="0.25">
      <c r="A1016" s="3" t="s">
        <v>148</v>
      </c>
      <c r="B1016" s="4">
        <v>5</v>
      </c>
      <c r="C1016" s="4"/>
      <c r="D1016" s="4" t="s">
        <v>149</v>
      </c>
      <c r="E1016" s="4" t="s">
        <v>6</v>
      </c>
      <c r="F1016">
        <f>COUNTIFS($D$2:D1016,D1016)</f>
        <v>6</v>
      </c>
      <c r="G1016" t="str">
        <f t="shared" si="15"/>
        <v>3871H</v>
      </c>
      <c r="H1016">
        <v>5.4566426999999997</v>
      </c>
      <c r="I1016">
        <v>52.174026400000002</v>
      </c>
      <c r="J1016" t="s">
        <v>477</v>
      </c>
      <c r="K1016" t="s">
        <v>357</v>
      </c>
      <c r="L1016" t="s">
        <v>149</v>
      </c>
      <c r="M1016" t="s">
        <v>6</v>
      </c>
    </row>
    <row r="1017" spans="1:13" x14ac:dyDescent="0.25">
      <c r="A1017" s="3" t="s">
        <v>148</v>
      </c>
      <c r="B1017" s="4">
        <v>6</v>
      </c>
      <c r="C1017" s="4"/>
      <c r="D1017" s="4" t="s">
        <v>149</v>
      </c>
      <c r="E1017" s="4" t="s">
        <v>6</v>
      </c>
      <c r="F1017">
        <f>COUNTIFS($D$2:D1017,D1017)</f>
        <v>7</v>
      </c>
      <c r="G1017" t="str">
        <f t="shared" si="15"/>
        <v>3871H</v>
      </c>
      <c r="H1017">
        <v>5.4561602000000002</v>
      </c>
      <c r="I1017">
        <v>52.173963800000003</v>
      </c>
      <c r="J1017" t="s">
        <v>477</v>
      </c>
      <c r="K1017" t="s">
        <v>262</v>
      </c>
      <c r="L1017" t="s">
        <v>149</v>
      </c>
      <c r="M1017" t="s">
        <v>6</v>
      </c>
    </row>
    <row r="1018" spans="1:13" x14ac:dyDescent="0.25">
      <c r="A1018" s="3" t="s">
        <v>148</v>
      </c>
      <c r="B1018" s="4">
        <v>7</v>
      </c>
      <c r="C1018" s="4"/>
      <c r="D1018" s="4" t="s">
        <v>149</v>
      </c>
      <c r="E1018" s="4" t="s">
        <v>6</v>
      </c>
      <c r="F1018">
        <f>COUNTIFS($D$2:D1018,D1018)</f>
        <v>8</v>
      </c>
      <c r="G1018" t="str">
        <f t="shared" si="15"/>
        <v>3871H</v>
      </c>
      <c r="H1018">
        <v>5.4566572000000004</v>
      </c>
      <c r="I1018">
        <v>52.173945500000002</v>
      </c>
      <c r="J1018" t="s">
        <v>477</v>
      </c>
      <c r="K1018" t="s">
        <v>358</v>
      </c>
      <c r="L1018" t="s">
        <v>149</v>
      </c>
      <c r="M1018" t="s">
        <v>6</v>
      </c>
    </row>
    <row r="1019" spans="1:13" x14ac:dyDescent="0.25">
      <c r="A1019" s="3" t="s">
        <v>148</v>
      </c>
      <c r="B1019" s="4">
        <v>8</v>
      </c>
      <c r="C1019" s="4"/>
      <c r="D1019" s="4" t="s">
        <v>149</v>
      </c>
      <c r="E1019" s="4" t="s">
        <v>6</v>
      </c>
      <c r="F1019">
        <f>COUNTIFS($D$2:D1019,D1019)</f>
        <v>9</v>
      </c>
      <c r="G1019" t="str">
        <f t="shared" si="15"/>
        <v>3871H</v>
      </c>
      <c r="H1019">
        <v>5.4561601</v>
      </c>
      <c r="I1019">
        <v>52.173909799999997</v>
      </c>
      <c r="J1019" t="s">
        <v>477</v>
      </c>
      <c r="K1019" t="s">
        <v>263</v>
      </c>
      <c r="L1019" t="s">
        <v>149</v>
      </c>
      <c r="M1019" t="s">
        <v>6</v>
      </c>
    </row>
    <row r="1020" spans="1:13" x14ac:dyDescent="0.25">
      <c r="A1020" s="3" t="s">
        <v>148</v>
      </c>
      <c r="B1020" s="4">
        <v>9</v>
      </c>
      <c r="C1020" s="4"/>
      <c r="D1020" s="4" t="s">
        <v>149</v>
      </c>
      <c r="E1020" s="4" t="s">
        <v>6</v>
      </c>
      <c r="F1020">
        <f>COUNTIFS($D$2:D1020,D1020)</f>
        <v>10</v>
      </c>
      <c r="G1020" t="str">
        <f t="shared" si="15"/>
        <v>3871H</v>
      </c>
      <c r="H1020">
        <v>5.4566569999999999</v>
      </c>
      <c r="I1020">
        <v>52.173864600000002</v>
      </c>
      <c r="J1020" t="s">
        <v>477</v>
      </c>
      <c r="K1020" t="s">
        <v>382</v>
      </c>
      <c r="L1020" t="s">
        <v>149</v>
      </c>
      <c r="M1020" t="s">
        <v>6</v>
      </c>
    </row>
    <row r="1021" spans="1:13" x14ac:dyDescent="0.25">
      <c r="A1021" s="3" t="s">
        <v>148</v>
      </c>
      <c r="B1021" s="4">
        <v>11</v>
      </c>
      <c r="C1021" s="4"/>
      <c r="D1021" s="4" t="s">
        <v>149</v>
      </c>
      <c r="E1021" s="4" t="s">
        <v>6</v>
      </c>
      <c r="F1021">
        <f>COUNTIFS($D$2:D1021,D1021)</f>
        <v>11</v>
      </c>
      <c r="G1021" t="str">
        <f t="shared" si="15"/>
        <v>3871H</v>
      </c>
      <c r="H1021">
        <v>5.4566568999999996</v>
      </c>
      <c r="I1021">
        <v>52.173783700000001</v>
      </c>
      <c r="J1021" t="s">
        <v>477</v>
      </c>
      <c r="K1021" t="s">
        <v>391</v>
      </c>
      <c r="L1021" t="s">
        <v>149</v>
      </c>
      <c r="M1021" t="s">
        <v>6</v>
      </c>
    </row>
    <row r="1022" spans="1:13" x14ac:dyDescent="0.25">
      <c r="A1022" s="3" t="s">
        <v>148</v>
      </c>
      <c r="B1022" s="4">
        <v>12</v>
      </c>
      <c r="C1022" s="4"/>
      <c r="D1022" s="4" t="s">
        <v>149</v>
      </c>
      <c r="E1022" s="4" t="s">
        <v>6</v>
      </c>
      <c r="F1022">
        <f>COUNTIFS($D$2:D1022,D1022)</f>
        <v>12</v>
      </c>
      <c r="G1022" t="str">
        <f t="shared" si="15"/>
        <v>3871H</v>
      </c>
      <c r="H1022">
        <v>5.4562176999999998</v>
      </c>
      <c r="I1022">
        <v>52.173343600000003</v>
      </c>
      <c r="J1022" t="s">
        <v>477</v>
      </c>
      <c r="K1022" t="s">
        <v>265</v>
      </c>
      <c r="L1022" t="s">
        <v>149</v>
      </c>
      <c r="M1022" t="s">
        <v>6</v>
      </c>
    </row>
    <row r="1023" spans="1:13" x14ac:dyDescent="0.25">
      <c r="A1023" s="3" t="s">
        <v>148</v>
      </c>
      <c r="B1023" s="4">
        <v>13</v>
      </c>
      <c r="C1023" s="4"/>
      <c r="D1023" s="4" t="s">
        <v>149</v>
      </c>
      <c r="E1023" s="4" t="s">
        <v>6</v>
      </c>
      <c r="F1023">
        <f>COUNTIFS($D$2:D1023,D1023)</f>
        <v>13</v>
      </c>
      <c r="G1023" t="str">
        <f t="shared" si="15"/>
        <v>3871H</v>
      </c>
      <c r="H1023">
        <v>5.4567148000000003</v>
      </c>
      <c r="I1023">
        <v>52.173424199999999</v>
      </c>
      <c r="J1023" t="s">
        <v>477</v>
      </c>
      <c r="K1023" t="s">
        <v>359</v>
      </c>
      <c r="L1023" t="s">
        <v>149</v>
      </c>
      <c r="M1023" t="s">
        <v>6</v>
      </c>
    </row>
    <row r="1024" spans="1:13" x14ac:dyDescent="0.25">
      <c r="A1024" s="3" t="s">
        <v>148</v>
      </c>
      <c r="B1024" s="4">
        <v>14</v>
      </c>
      <c r="C1024" s="4"/>
      <c r="D1024" s="4" t="s">
        <v>149</v>
      </c>
      <c r="E1024" s="4" t="s">
        <v>6</v>
      </c>
      <c r="F1024">
        <f>COUNTIFS($D$2:D1024,D1024)</f>
        <v>14</v>
      </c>
      <c r="G1024" t="str">
        <f t="shared" si="15"/>
        <v>3871H</v>
      </c>
      <c r="H1024">
        <v>5.4562321000000003</v>
      </c>
      <c r="I1024">
        <v>52.173226700000001</v>
      </c>
      <c r="J1024" t="s">
        <v>477</v>
      </c>
      <c r="K1024" t="s">
        <v>266</v>
      </c>
      <c r="L1024" t="s">
        <v>149</v>
      </c>
      <c r="M1024" t="s">
        <v>6</v>
      </c>
    </row>
    <row r="1025" spans="1:13" x14ac:dyDescent="0.25">
      <c r="A1025" s="3" t="s">
        <v>148</v>
      </c>
      <c r="B1025" s="4">
        <v>15</v>
      </c>
      <c r="C1025" s="4"/>
      <c r="D1025" s="4" t="s">
        <v>149</v>
      </c>
      <c r="E1025" s="4" t="s">
        <v>6</v>
      </c>
      <c r="F1025">
        <f>COUNTIFS($D$2:D1025,D1025)</f>
        <v>15</v>
      </c>
      <c r="G1025" t="str">
        <f t="shared" si="15"/>
        <v>3871H</v>
      </c>
      <c r="H1025">
        <v>5.4567294000000004</v>
      </c>
      <c r="I1025">
        <v>52.173361200000002</v>
      </c>
      <c r="J1025" t="s">
        <v>477</v>
      </c>
      <c r="K1025" t="s">
        <v>383</v>
      </c>
      <c r="L1025" t="s">
        <v>149</v>
      </c>
      <c r="M1025" t="s">
        <v>6</v>
      </c>
    </row>
    <row r="1026" spans="1:13" x14ac:dyDescent="0.25">
      <c r="A1026" s="3" t="s">
        <v>148</v>
      </c>
      <c r="B1026" s="4">
        <v>16</v>
      </c>
      <c r="C1026" s="4"/>
      <c r="D1026" s="4" t="s">
        <v>149</v>
      </c>
      <c r="E1026" s="4" t="s">
        <v>6</v>
      </c>
      <c r="F1026">
        <f>COUNTIFS($D$2:D1026,D1026)</f>
        <v>16</v>
      </c>
      <c r="G1026" t="str">
        <f t="shared" ref="G1026:G1089" si="16">LEFT(A1026,5)</f>
        <v>3871H</v>
      </c>
      <c r="H1026">
        <v>5.456232</v>
      </c>
      <c r="I1026">
        <v>52.173172800000003</v>
      </c>
      <c r="J1026" t="s">
        <v>477</v>
      </c>
      <c r="K1026" t="s">
        <v>371</v>
      </c>
      <c r="L1026" t="s">
        <v>149</v>
      </c>
      <c r="M1026" t="s">
        <v>6</v>
      </c>
    </row>
    <row r="1027" spans="1:13" x14ac:dyDescent="0.25">
      <c r="A1027" s="3" t="s">
        <v>148</v>
      </c>
      <c r="B1027" s="4">
        <v>17</v>
      </c>
      <c r="C1027" s="4"/>
      <c r="D1027" s="4" t="s">
        <v>149</v>
      </c>
      <c r="E1027" s="4" t="s">
        <v>6</v>
      </c>
      <c r="F1027">
        <f>COUNTIFS($D$2:D1027,D1027)</f>
        <v>17</v>
      </c>
      <c r="G1027" t="str">
        <f t="shared" si="16"/>
        <v>3871H</v>
      </c>
      <c r="H1027">
        <v>5.4567291999999998</v>
      </c>
      <c r="I1027">
        <v>52.173262399999999</v>
      </c>
      <c r="J1027" t="s">
        <v>477</v>
      </c>
      <c r="K1027" t="s">
        <v>360</v>
      </c>
      <c r="L1027" t="s">
        <v>149</v>
      </c>
      <c r="M1027" t="s">
        <v>6</v>
      </c>
    </row>
    <row r="1028" spans="1:13" x14ac:dyDescent="0.25">
      <c r="A1028" s="3" t="s">
        <v>148</v>
      </c>
      <c r="B1028" s="4">
        <v>19</v>
      </c>
      <c r="C1028" s="4"/>
      <c r="D1028" s="4" t="s">
        <v>149</v>
      </c>
      <c r="E1028" s="4" t="s">
        <v>6</v>
      </c>
      <c r="F1028">
        <f>COUNTIFS($D$2:D1028,D1028)</f>
        <v>18</v>
      </c>
      <c r="G1028" t="str">
        <f t="shared" si="16"/>
        <v>3871H</v>
      </c>
      <c r="H1028">
        <v>5.4567436999999996</v>
      </c>
      <c r="I1028">
        <v>52.173181499999998</v>
      </c>
      <c r="J1028" t="s">
        <v>477</v>
      </c>
      <c r="K1028" t="s">
        <v>361</v>
      </c>
      <c r="L1028" t="s">
        <v>149</v>
      </c>
      <c r="M1028" t="s">
        <v>6</v>
      </c>
    </row>
    <row r="1029" spans="1:13" x14ac:dyDescent="0.25">
      <c r="A1029" s="3" t="s">
        <v>150</v>
      </c>
      <c r="B1029" s="4">
        <v>1</v>
      </c>
      <c r="C1029" s="4"/>
      <c r="D1029" s="4" t="s">
        <v>151</v>
      </c>
      <c r="E1029" s="4" t="s">
        <v>6</v>
      </c>
      <c r="F1029">
        <f>COUNTIFS($D$2:D1029,D1029)</f>
        <v>1</v>
      </c>
      <c r="G1029" t="str">
        <f t="shared" si="16"/>
        <v>3871H</v>
      </c>
      <c r="H1029">
        <v>5.4532945000000002</v>
      </c>
      <c r="I1029">
        <v>52.1729062</v>
      </c>
      <c r="J1029" t="s">
        <v>478</v>
      </c>
      <c r="K1029" t="s">
        <v>355</v>
      </c>
      <c r="L1029" t="s">
        <v>151</v>
      </c>
      <c r="M1029" t="s">
        <v>6</v>
      </c>
    </row>
    <row r="1030" spans="1:13" x14ac:dyDescent="0.25">
      <c r="A1030" s="3" t="s">
        <v>150</v>
      </c>
      <c r="B1030" s="4">
        <v>3</v>
      </c>
      <c r="C1030" s="4"/>
      <c r="D1030" s="4" t="s">
        <v>151</v>
      </c>
      <c r="E1030" s="4" t="s">
        <v>6</v>
      </c>
      <c r="F1030">
        <f>COUNTIFS($D$2:D1030,D1030)</f>
        <v>2</v>
      </c>
      <c r="G1030" t="str">
        <f t="shared" si="16"/>
        <v>3871H</v>
      </c>
      <c r="H1030">
        <v>5.4534710000000004</v>
      </c>
      <c r="I1030">
        <v>52.172908399999997</v>
      </c>
      <c r="J1030" t="s">
        <v>478</v>
      </c>
      <c r="K1030" t="s">
        <v>356</v>
      </c>
      <c r="L1030" t="s">
        <v>151</v>
      </c>
      <c r="M1030" t="s">
        <v>6</v>
      </c>
    </row>
    <row r="1031" spans="1:13" x14ac:dyDescent="0.25">
      <c r="A1031" s="3" t="s">
        <v>150</v>
      </c>
      <c r="B1031" s="4">
        <v>5</v>
      </c>
      <c r="C1031" s="4"/>
      <c r="D1031" s="4" t="s">
        <v>151</v>
      </c>
      <c r="E1031" s="4" t="s">
        <v>6</v>
      </c>
      <c r="F1031">
        <f>COUNTIFS($D$2:D1031,D1031)</f>
        <v>3</v>
      </c>
      <c r="G1031" t="str">
        <f t="shared" si="16"/>
        <v>3871H</v>
      </c>
      <c r="H1031">
        <v>5.4551436000000004</v>
      </c>
      <c r="I1031">
        <v>52.172437000000002</v>
      </c>
      <c r="J1031" t="s">
        <v>478</v>
      </c>
      <c r="K1031" t="s">
        <v>357</v>
      </c>
      <c r="L1031" t="s">
        <v>151</v>
      </c>
      <c r="M1031" t="s">
        <v>6</v>
      </c>
    </row>
    <row r="1032" spans="1:13" x14ac:dyDescent="0.25">
      <c r="A1032" s="3" t="s">
        <v>150</v>
      </c>
      <c r="B1032" s="4">
        <v>7</v>
      </c>
      <c r="C1032" s="4"/>
      <c r="D1032" s="4" t="s">
        <v>151</v>
      </c>
      <c r="E1032" s="4" t="s">
        <v>6</v>
      </c>
      <c r="F1032">
        <f>COUNTIFS($D$2:D1032,D1032)</f>
        <v>4</v>
      </c>
      <c r="G1032" t="str">
        <f t="shared" si="16"/>
        <v>3871H</v>
      </c>
      <c r="H1032">
        <v>5.4550444000000002</v>
      </c>
      <c r="I1032">
        <v>52.172434500000001</v>
      </c>
      <c r="J1032" t="s">
        <v>478</v>
      </c>
      <c r="K1032" t="s">
        <v>358</v>
      </c>
      <c r="L1032" t="s">
        <v>151</v>
      </c>
      <c r="M1032" t="s">
        <v>6</v>
      </c>
    </row>
    <row r="1033" spans="1:13" x14ac:dyDescent="0.25">
      <c r="A1033" s="3" t="s">
        <v>150</v>
      </c>
      <c r="B1033" s="4">
        <v>9</v>
      </c>
      <c r="C1033" s="4"/>
      <c r="D1033" s="4" t="s">
        <v>151</v>
      </c>
      <c r="E1033" s="4" t="s">
        <v>6</v>
      </c>
      <c r="F1033">
        <f>COUNTIFS($D$2:D1033,D1033)</f>
        <v>5</v>
      </c>
      <c r="G1033" t="str">
        <f t="shared" si="16"/>
        <v>3871H</v>
      </c>
      <c r="H1033">
        <v>5.4549452</v>
      </c>
      <c r="I1033">
        <v>52.172433400000003</v>
      </c>
      <c r="J1033" t="s">
        <v>478</v>
      </c>
      <c r="K1033" t="s">
        <v>382</v>
      </c>
      <c r="L1033" t="s">
        <v>151</v>
      </c>
      <c r="M1033" t="s">
        <v>6</v>
      </c>
    </row>
    <row r="1034" spans="1:13" x14ac:dyDescent="0.25">
      <c r="A1034" s="3" t="s">
        <v>150</v>
      </c>
      <c r="B1034" s="4">
        <v>11</v>
      </c>
      <c r="C1034" s="4"/>
      <c r="D1034" s="4" t="s">
        <v>151</v>
      </c>
      <c r="E1034" s="4" t="s">
        <v>6</v>
      </c>
      <c r="F1034">
        <f>COUNTIFS($D$2:D1034,D1034)</f>
        <v>6</v>
      </c>
      <c r="G1034" t="str">
        <f t="shared" si="16"/>
        <v>3871H</v>
      </c>
      <c r="H1034">
        <v>5.4548236000000001</v>
      </c>
      <c r="I1034">
        <v>52.1724648</v>
      </c>
      <c r="J1034" t="s">
        <v>478</v>
      </c>
      <c r="K1034" t="s">
        <v>391</v>
      </c>
      <c r="L1034" t="s">
        <v>151</v>
      </c>
      <c r="M1034" t="s">
        <v>6</v>
      </c>
    </row>
    <row r="1035" spans="1:13" x14ac:dyDescent="0.25">
      <c r="A1035" s="3" t="s">
        <v>150</v>
      </c>
      <c r="B1035" s="4">
        <v>13</v>
      </c>
      <c r="C1035" s="4"/>
      <c r="D1035" s="4" t="s">
        <v>151</v>
      </c>
      <c r="E1035" s="4" t="s">
        <v>6</v>
      </c>
      <c r="F1035">
        <f>COUNTIFS($D$2:D1035,D1035)</f>
        <v>7</v>
      </c>
      <c r="G1035" t="str">
        <f t="shared" si="16"/>
        <v>3871H</v>
      </c>
      <c r="H1035">
        <v>5.4548157000000002</v>
      </c>
      <c r="I1035">
        <v>52.172509400000003</v>
      </c>
      <c r="J1035" t="s">
        <v>478</v>
      </c>
      <c r="K1035" t="s">
        <v>359</v>
      </c>
      <c r="L1035" t="s">
        <v>151</v>
      </c>
      <c r="M1035" t="s">
        <v>6</v>
      </c>
    </row>
    <row r="1036" spans="1:13" x14ac:dyDescent="0.25">
      <c r="A1036" s="3" t="s">
        <v>150</v>
      </c>
      <c r="B1036" s="4">
        <v>15</v>
      </c>
      <c r="C1036" s="4"/>
      <c r="D1036" s="4" t="s">
        <v>151</v>
      </c>
      <c r="E1036" s="4" t="s">
        <v>6</v>
      </c>
      <c r="F1036">
        <f>COUNTIFS($D$2:D1036,D1036)</f>
        <v>8</v>
      </c>
      <c r="G1036" t="str">
        <f t="shared" si="16"/>
        <v>3871H</v>
      </c>
      <c r="H1036">
        <v>5.4548097000000002</v>
      </c>
      <c r="I1036">
        <v>52.172559200000002</v>
      </c>
      <c r="J1036" t="s">
        <v>478</v>
      </c>
      <c r="K1036" t="s">
        <v>383</v>
      </c>
      <c r="L1036" t="s">
        <v>151</v>
      </c>
      <c r="M1036" t="s">
        <v>6</v>
      </c>
    </row>
    <row r="1037" spans="1:13" x14ac:dyDescent="0.25">
      <c r="A1037" s="3" t="s">
        <v>150</v>
      </c>
      <c r="B1037" s="4">
        <v>17</v>
      </c>
      <c r="C1037" s="4"/>
      <c r="D1037" s="4" t="s">
        <v>151</v>
      </c>
      <c r="E1037" s="4" t="s">
        <v>6</v>
      </c>
      <c r="F1037">
        <f>COUNTIFS($D$2:D1037,D1037)</f>
        <v>9</v>
      </c>
      <c r="G1037" t="str">
        <f t="shared" si="16"/>
        <v>3871H</v>
      </c>
      <c r="H1037">
        <v>5.4551476000000001</v>
      </c>
      <c r="I1037">
        <v>52.1724034</v>
      </c>
      <c r="J1037" t="s">
        <v>478</v>
      </c>
      <c r="K1037" t="s">
        <v>360</v>
      </c>
      <c r="L1037" t="s">
        <v>151</v>
      </c>
      <c r="M1037" t="s">
        <v>6</v>
      </c>
    </row>
    <row r="1038" spans="1:13" x14ac:dyDescent="0.25">
      <c r="A1038" s="3" t="s">
        <v>150</v>
      </c>
      <c r="B1038" s="4">
        <v>19</v>
      </c>
      <c r="C1038" s="4"/>
      <c r="D1038" s="4" t="s">
        <v>151</v>
      </c>
      <c r="E1038" s="4" t="s">
        <v>6</v>
      </c>
      <c r="F1038">
        <f>COUNTIFS($D$2:D1038,D1038)</f>
        <v>10</v>
      </c>
      <c r="G1038" t="str">
        <f t="shared" si="16"/>
        <v>3871H</v>
      </c>
      <c r="H1038">
        <v>5.4550483999999999</v>
      </c>
      <c r="I1038">
        <v>52.172402200000001</v>
      </c>
      <c r="J1038" t="s">
        <v>478</v>
      </c>
      <c r="K1038" t="s">
        <v>361</v>
      </c>
      <c r="L1038" t="s">
        <v>151</v>
      </c>
      <c r="M1038" t="s">
        <v>6</v>
      </c>
    </row>
    <row r="1039" spans="1:13" x14ac:dyDescent="0.25">
      <c r="A1039" s="3" t="s">
        <v>150</v>
      </c>
      <c r="B1039" s="4">
        <v>21</v>
      </c>
      <c r="C1039" s="4"/>
      <c r="D1039" s="4" t="s">
        <v>151</v>
      </c>
      <c r="E1039" s="4" t="s">
        <v>6</v>
      </c>
      <c r="F1039">
        <f>COUNTIFS($D$2:D1039,D1039)</f>
        <v>11</v>
      </c>
      <c r="G1039" t="str">
        <f t="shared" si="16"/>
        <v>3871H</v>
      </c>
      <c r="H1039">
        <v>5.4549491999999997</v>
      </c>
      <c r="I1039">
        <v>52.172401000000001</v>
      </c>
      <c r="J1039" t="s">
        <v>478</v>
      </c>
      <c r="K1039" t="s">
        <v>362</v>
      </c>
      <c r="L1039" t="s">
        <v>151</v>
      </c>
      <c r="M1039" t="s">
        <v>6</v>
      </c>
    </row>
    <row r="1040" spans="1:13" x14ac:dyDescent="0.25">
      <c r="A1040" s="3" t="s">
        <v>150</v>
      </c>
      <c r="B1040" s="4">
        <v>23</v>
      </c>
      <c r="C1040" s="4"/>
      <c r="D1040" s="4" t="s">
        <v>151</v>
      </c>
      <c r="E1040" s="4" t="s">
        <v>6</v>
      </c>
      <c r="F1040">
        <f>COUNTIFS($D$2:D1040,D1040)</f>
        <v>12</v>
      </c>
      <c r="G1040" t="str">
        <f t="shared" si="16"/>
        <v>3871H</v>
      </c>
      <c r="H1040">
        <v>5.4547366999999998</v>
      </c>
      <c r="I1040">
        <v>52.172463399999998</v>
      </c>
      <c r="J1040" t="s">
        <v>478</v>
      </c>
      <c r="K1040" t="s">
        <v>384</v>
      </c>
      <c r="L1040" t="s">
        <v>151</v>
      </c>
      <c r="M1040" t="s">
        <v>6</v>
      </c>
    </row>
    <row r="1041" spans="1:13" x14ac:dyDescent="0.25">
      <c r="A1041" s="3" t="s">
        <v>150</v>
      </c>
      <c r="B1041" s="4">
        <v>25</v>
      </c>
      <c r="C1041" s="4"/>
      <c r="D1041" s="4" t="s">
        <v>151</v>
      </c>
      <c r="E1041" s="4" t="s">
        <v>6</v>
      </c>
      <c r="F1041">
        <f>COUNTIFS($D$2:D1041,D1041)</f>
        <v>13</v>
      </c>
      <c r="G1041" t="str">
        <f t="shared" si="16"/>
        <v>3871H</v>
      </c>
      <c r="H1041">
        <v>5.4547327000000001</v>
      </c>
      <c r="I1041">
        <v>52.172502000000001</v>
      </c>
      <c r="J1041" t="s">
        <v>478</v>
      </c>
      <c r="K1041" t="s">
        <v>385</v>
      </c>
      <c r="L1041" t="s">
        <v>151</v>
      </c>
      <c r="M1041" t="s">
        <v>6</v>
      </c>
    </row>
    <row r="1042" spans="1:13" x14ac:dyDescent="0.25">
      <c r="A1042" s="3" t="s">
        <v>150</v>
      </c>
      <c r="B1042" s="4">
        <v>27</v>
      </c>
      <c r="C1042" s="4"/>
      <c r="D1042" s="4" t="s">
        <v>151</v>
      </c>
      <c r="E1042" s="4" t="s">
        <v>6</v>
      </c>
      <c r="F1042">
        <f>COUNTIFS($D$2:D1042,D1042)</f>
        <v>14</v>
      </c>
      <c r="G1042" t="str">
        <f t="shared" si="16"/>
        <v>3871H</v>
      </c>
      <c r="H1042">
        <v>5.4547306999999998</v>
      </c>
      <c r="I1042">
        <v>52.1725505</v>
      </c>
      <c r="J1042" t="s">
        <v>478</v>
      </c>
      <c r="K1042" t="s">
        <v>393</v>
      </c>
      <c r="L1042" t="s">
        <v>151</v>
      </c>
      <c r="M1042" t="s">
        <v>6</v>
      </c>
    </row>
    <row r="1043" spans="1:13" x14ac:dyDescent="0.25">
      <c r="A1043" s="3" t="s">
        <v>150</v>
      </c>
      <c r="B1043" s="4">
        <v>29</v>
      </c>
      <c r="C1043" s="4"/>
      <c r="D1043" s="4" t="s">
        <v>151</v>
      </c>
      <c r="E1043" s="4" t="s">
        <v>6</v>
      </c>
      <c r="F1043">
        <f>COUNTIFS($D$2:D1043,D1043)</f>
        <v>15</v>
      </c>
      <c r="G1043" t="str">
        <f t="shared" si="16"/>
        <v>3871H</v>
      </c>
      <c r="H1043">
        <v>5.4549311999999999</v>
      </c>
      <c r="I1043">
        <v>52.172574099999999</v>
      </c>
      <c r="J1043" t="s">
        <v>478</v>
      </c>
      <c r="K1043" t="s">
        <v>364</v>
      </c>
      <c r="L1043" t="s">
        <v>151</v>
      </c>
      <c r="M1043" t="s">
        <v>6</v>
      </c>
    </row>
    <row r="1044" spans="1:13" x14ac:dyDescent="0.25">
      <c r="A1044" s="3" t="s">
        <v>150</v>
      </c>
      <c r="B1044" s="4">
        <v>31</v>
      </c>
      <c r="C1044" s="4"/>
      <c r="D1044" s="4" t="s">
        <v>151</v>
      </c>
      <c r="E1044" s="4" t="s">
        <v>6</v>
      </c>
      <c r="F1044">
        <f>COUNTIFS($D$2:D1044,D1044)</f>
        <v>16</v>
      </c>
      <c r="G1044" t="str">
        <f t="shared" si="16"/>
        <v>3871H</v>
      </c>
      <c r="H1044">
        <v>5.4550223000000004</v>
      </c>
      <c r="I1044">
        <v>52.172578999999999</v>
      </c>
      <c r="J1044" t="s">
        <v>478</v>
      </c>
      <c r="K1044" t="s">
        <v>323</v>
      </c>
      <c r="L1044" t="s">
        <v>151</v>
      </c>
      <c r="M1044" t="s">
        <v>6</v>
      </c>
    </row>
    <row r="1045" spans="1:13" x14ac:dyDescent="0.25">
      <c r="A1045" s="3" t="s">
        <v>150</v>
      </c>
      <c r="B1045" s="4">
        <v>33</v>
      </c>
      <c r="C1045" s="4"/>
      <c r="D1045" s="4" t="s">
        <v>151</v>
      </c>
      <c r="E1045" s="4" t="s">
        <v>6</v>
      </c>
      <c r="F1045">
        <f>COUNTIFS($D$2:D1045,D1045)</f>
        <v>17</v>
      </c>
      <c r="G1045" t="str">
        <f t="shared" si="16"/>
        <v>3871H</v>
      </c>
      <c r="H1045">
        <v>5.4550770000000002</v>
      </c>
      <c r="I1045">
        <v>52.172545300000003</v>
      </c>
      <c r="J1045" t="s">
        <v>478</v>
      </c>
      <c r="K1045" t="s">
        <v>365</v>
      </c>
      <c r="L1045" t="s">
        <v>151</v>
      </c>
      <c r="M1045" t="s">
        <v>6</v>
      </c>
    </row>
    <row r="1046" spans="1:13" x14ac:dyDescent="0.25">
      <c r="A1046" s="3" t="s">
        <v>150</v>
      </c>
      <c r="B1046" s="4">
        <v>35</v>
      </c>
      <c r="C1046" s="4"/>
      <c r="D1046" s="4" t="s">
        <v>151</v>
      </c>
      <c r="E1046" s="4" t="s">
        <v>6</v>
      </c>
      <c r="F1046">
        <f>COUNTIFS($D$2:D1046,D1046)</f>
        <v>18</v>
      </c>
      <c r="G1046" t="str">
        <f t="shared" si="16"/>
        <v>3871H</v>
      </c>
      <c r="H1046">
        <v>5.4551556999999997</v>
      </c>
      <c r="I1046">
        <v>52.172365999999997</v>
      </c>
      <c r="J1046" t="s">
        <v>478</v>
      </c>
      <c r="K1046" t="s">
        <v>366</v>
      </c>
      <c r="L1046" t="s">
        <v>151</v>
      </c>
      <c r="M1046" t="s">
        <v>6</v>
      </c>
    </row>
    <row r="1047" spans="1:13" x14ac:dyDescent="0.25">
      <c r="A1047" s="3" t="s">
        <v>150</v>
      </c>
      <c r="B1047" s="4">
        <v>37</v>
      </c>
      <c r="C1047" s="4"/>
      <c r="D1047" s="4" t="s">
        <v>151</v>
      </c>
      <c r="E1047" s="4" t="s">
        <v>6</v>
      </c>
      <c r="F1047">
        <f>COUNTIFS($D$2:D1047,D1047)</f>
        <v>19</v>
      </c>
      <c r="G1047" t="str">
        <f t="shared" si="16"/>
        <v>3871H</v>
      </c>
      <c r="H1047">
        <v>5.4550523999999996</v>
      </c>
      <c r="I1047">
        <v>52.172368599999999</v>
      </c>
      <c r="J1047" t="s">
        <v>478</v>
      </c>
      <c r="K1047" t="s">
        <v>367</v>
      </c>
      <c r="L1047" t="s">
        <v>151</v>
      </c>
      <c r="M1047" t="s">
        <v>6</v>
      </c>
    </row>
    <row r="1048" spans="1:13" x14ac:dyDescent="0.25">
      <c r="A1048" s="3" t="s">
        <v>150</v>
      </c>
      <c r="B1048" s="4">
        <v>39</v>
      </c>
      <c r="C1048" s="4"/>
      <c r="D1048" s="4" t="s">
        <v>151</v>
      </c>
      <c r="E1048" s="4" t="s">
        <v>6</v>
      </c>
      <c r="F1048">
        <f>COUNTIFS($D$2:D1048,D1048)</f>
        <v>20</v>
      </c>
      <c r="G1048" t="str">
        <f t="shared" si="16"/>
        <v>3871H</v>
      </c>
      <c r="H1048">
        <v>5.4549512</v>
      </c>
      <c r="I1048">
        <v>52.1723699</v>
      </c>
      <c r="J1048" t="s">
        <v>478</v>
      </c>
      <c r="K1048" t="s">
        <v>368</v>
      </c>
      <c r="L1048" t="s">
        <v>151</v>
      </c>
      <c r="M1048" t="s">
        <v>6</v>
      </c>
    </row>
    <row r="1049" spans="1:13" x14ac:dyDescent="0.25">
      <c r="A1049" s="3" t="s">
        <v>150</v>
      </c>
      <c r="B1049" s="4">
        <v>41</v>
      </c>
      <c r="C1049" s="4"/>
      <c r="D1049" s="4" t="s">
        <v>151</v>
      </c>
      <c r="E1049" s="4" t="s">
        <v>6</v>
      </c>
      <c r="F1049">
        <f>COUNTIFS($D$2:D1049,D1049)</f>
        <v>21</v>
      </c>
      <c r="G1049" t="str">
        <f t="shared" si="16"/>
        <v>3871H</v>
      </c>
      <c r="H1049">
        <v>5.4546557</v>
      </c>
      <c r="I1049">
        <v>52.172463399999998</v>
      </c>
      <c r="J1049" t="s">
        <v>478</v>
      </c>
      <c r="K1049" t="s">
        <v>325</v>
      </c>
      <c r="L1049" t="s">
        <v>151</v>
      </c>
      <c r="M1049" t="s">
        <v>6</v>
      </c>
    </row>
    <row r="1050" spans="1:13" x14ac:dyDescent="0.25">
      <c r="A1050" s="3" t="s">
        <v>150</v>
      </c>
      <c r="B1050" s="4">
        <v>43</v>
      </c>
      <c r="C1050" s="4"/>
      <c r="D1050" s="4" t="s">
        <v>151</v>
      </c>
      <c r="E1050" s="4" t="s">
        <v>6</v>
      </c>
      <c r="F1050">
        <f>COUNTIFS($D$2:D1050,D1050)</f>
        <v>22</v>
      </c>
      <c r="G1050" t="str">
        <f t="shared" si="16"/>
        <v>3871H</v>
      </c>
      <c r="H1050">
        <v>5.4546517000000003</v>
      </c>
      <c r="I1050">
        <v>52.172502000000001</v>
      </c>
      <c r="J1050" t="s">
        <v>478</v>
      </c>
      <c r="K1050" t="s">
        <v>326</v>
      </c>
      <c r="L1050" t="s">
        <v>151</v>
      </c>
      <c r="M1050" t="s">
        <v>6</v>
      </c>
    </row>
    <row r="1051" spans="1:13" x14ac:dyDescent="0.25">
      <c r="A1051" s="3" t="s">
        <v>150</v>
      </c>
      <c r="B1051" s="4">
        <v>45</v>
      </c>
      <c r="C1051" s="4"/>
      <c r="D1051" s="4" t="s">
        <v>151</v>
      </c>
      <c r="E1051" s="4" t="s">
        <v>6</v>
      </c>
      <c r="F1051">
        <f>COUNTIFS($D$2:D1051,D1051)</f>
        <v>23</v>
      </c>
      <c r="G1051" t="str">
        <f t="shared" si="16"/>
        <v>3871H</v>
      </c>
      <c r="H1051">
        <v>5.4546476999999998</v>
      </c>
      <c r="I1051">
        <v>52.1725493</v>
      </c>
      <c r="J1051" t="s">
        <v>478</v>
      </c>
      <c r="K1051" t="s">
        <v>327</v>
      </c>
      <c r="L1051" t="s">
        <v>151</v>
      </c>
      <c r="M1051" t="s">
        <v>6</v>
      </c>
    </row>
    <row r="1052" spans="1:13" x14ac:dyDescent="0.25">
      <c r="A1052" s="3" t="s">
        <v>150</v>
      </c>
      <c r="B1052" s="4">
        <v>47</v>
      </c>
      <c r="C1052" s="4"/>
      <c r="D1052" s="4" t="s">
        <v>151</v>
      </c>
      <c r="E1052" s="4" t="s">
        <v>6</v>
      </c>
      <c r="F1052">
        <f>COUNTIFS($D$2:D1052,D1052)</f>
        <v>24</v>
      </c>
      <c r="G1052" t="str">
        <f t="shared" si="16"/>
        <v>3871H</v>
      </c>
      <c r="H1052">
        <v>5.4549171000000003</v>
      </c>
      <c r="I1052">
        <v>52.172630099999999</v>
      </c>
      <c r="J1052" t="s">
        <v>478</v>
      </c>
      <c r="K1052" t="s">
        <v>328</v>
      </c>
      <c r="L1052" t="s">
        <v>151</v>
      </c>
      <c r="M1052" t="s">
        <v>6</v>
      </c>
    </row>
    <row r="1053" spans="1:13" x14ac:dyDescent="0.25">
      <c r="A1053" s="3" t="s">
        <v>150</v>
      </c>
      <c r="B1053" s="4">
        <v>49</v>
      </c>
      <c r="C1053" s="4"/>
      <c r="D1053" s="4" t="s">
        <v>151</v>
      </c>
      <c r="E1053" s="4" t="s">
        <v>6</v>
      </c>
      <c r="F1053">
        <f>COUNTIFS($D$2:D1053,D1053)</f>
        <v>25</v>
      </c>
      <c r="G1053" t="str">
        <f t="shared" si="16"/>
        <v>3871H</v>
      </c>
      <c r="H1053">
        <v>5.4550184000000002</v>
      </c>
      <c r="I1053">
        <v>52.1726338</v>
      </c>
      <c r="J1053" t="s">
        <v>478</v>
      </c>
      <c r="K1053" t="s">
        <v>329</v>
      </c>
      <c r="L1053" t="s">
        <v>151</v>
      </c>
      <c r="M1053" t="s">
        <v>6</v>
      </c>
    </row>
    <row r="1054" spans="1:13" x14ac:dyDescent="0.25">
      <c r="A1054" s="3" t="s">
        <v>150</v>
      </c>
      <c r="B1054" s="4">
        <v>51</v>
      </c>
      <c r="C1054" s="4"/>
      <c r="D1054" s="4" t="s">
        <v>151</v>
      </c>
      <c r="E1054" s="4" t="s">
        <v>6</v>
      </c>
      <c r="F1054">
        <f>COUNTIFS($D$2:D1054,D1054)</f>
        <v>26</v>
      </c>
      <c r="G1054" t="str">
        <f t="shared" si="16"/>
        <v>3871H</v>
      </c>
      <c r="H1054">
        <v>5.4551235</v>
      </c>
      <c r="I1054">
        <v>52.172548999999997</v>
      </c>
      <c r="J1054" t="s">
        <v>478</v>
      </c>
      <c r="K1054" t="s">
        <v>331</v>
      </c>
      <c r="L1054" t="s">
        <v>151</v>
      </c>
      <c r="M1054" t="s">
        <v>6</v>
      </c>
    </row>
    <row r="1055" spans="1:13" x14ac:dyDescent="0.25">
      <c r="A1055" s="3" t="s">
        <v>152</v>
      </c>
      <c r="B1055" s="4">
        <v>2</v>
      </c>
      <c r="C1055" s="4"/>
      <c r="D1055" s="4" t="s">
        <v>151</v>
      </c>
      <c r="E1055" s="4" t="s">
        <v>6</v>
      </c>
      <c r="F1055">
        <f>COUNTIFS($D$2:D1055,D1055)</f>
        <v>27</v>
      </c>
      <c r="G1055" t="str">
        <f t="shared" si="16"/>
        <v>3871H</v>
      </c>
      <c r="H1055">
        <v>5.4533829000000003</v>
      </c>
      <c r="I1055">
        <v>52.172706699999999</v>
      </c>
      <c r="J1055" t="s">
        <v>479</v>
      </c>
      <c r="K1055" t="s">
        <v>370</v>
      </c>
      <c r="L1055" t="s">
        <v>151</v>
      </c>
      <c r="M1055" t="s">
        <v>6</v>
      </c>
    </row>
    <row r="1056" spans="1:13" x14ac:dyDescent="0.25">
      <c r="A1056" s="3" t="s">
        <v>152</v>
      </c>
      <c r="B1056" s="4">
        <v>4</v>
      </c>
      <c r="C1056" s="4"/>
      <c r="D1056" s="4" t="s">
        <v>151</v>
      </c>
      <c r="E1056" s="4" t="s">
        <v>6</v>
      </c>
      <c r="F1056">
        <f>COUNTIFS($D$2:D1056,D1056)</f>
        <v>28</v>
      </c>
      <c r="G1056" t="str">
        <f t="shared" si="16"/>
        <v>3871H</v>
      </c>
      <c r="H1056">
        <v>5.4533845999999997</v>
      </c>
      <c r="I1056">
        <v>52.172635499999998</v>
      </c>
      <c r="J1056" t="s">
        <v>479</v>
      </c>
      <c r="K1056" t="s">
        <v>260</v>
      </c>
      <c r="L1056" t="s">
        <v>151</v>
      </c>
      <c r="M1056" t="s">
        <v>6</v>
      </c>
    </row>
    <row r="1057" spans="1:13" x14ac:dyDescent="0.25">
      <c r="A1057" s="3" t="s">
        <v>152</v>
      </c>
      <c r="B1057" s="4">
        <v>6</v>
      </c>
      <c r="C1057" s="4"/>
      <c r="D1057" s="4" t="s">
        <v>151</v>
      </c>
      <c r="E1057" s="4" t="s">
        <v>6</v>
      </c>
      <c r="F1057">
        <f>COUNTIFS($D$2:D1057,D1057)</f>
        <v>29</v>
      </c>
      <c r="G1057" t="str">
        <f t="shared" si="16"/>
        <v>3871H</v>
      </c>
      <c r="H1057">
        <v>5.4533955000000001</v>
      </c>
      <c r="I1057">
        <v>52.172575999999999</v>
      </c>
      <c r="J1057" t="s">
        <v>479</v>
      </c>
      <c r="K1057" t="s">
        <v>262</v>
      </c>
      <c r="L1057" t="s">
        <v>151</v>
      </c>
      <c r="M1057" t="s">
        <v>6</v>
      </c>
    </row>
    <row r="1058" spans="1:13" x14ac:dyDescent="0.25">
      <c r="A1058" s="3" t="s">
        <v>152</v>
      </c>
      <c r="B1058" s="4">
        <v>8</v>
      </c>
      <c r="C1058" s="4"/>
      <c r="D1058" s="4" t="s">
        <v>151</v>
      </c>
      <c r="E1058" s="4" t="s">
        <v>6</v>
      </c>
      <c r="F1058">
        <f>COUNTIFS($D$2:D1058,D1058)</f>
        <v>30</v>
      </c>
      <c r="G1058" t="str">
        <f t="shared" si="16"/>
        <v>3871H</v>
      </c>
      <c r="H1058">
        <v>5.4533943000000002</v>
      </c>
      <c r="I1058">
        <v>52.172451299999999</v>
      </c>
      <c r="J1058" t="s">
        <v>479</v>
      </c>
      <c r="K1058" t="s">
        <v>263</v>
      </c>
      <c r="L1058" t="s">
        <v>151</v>
      </c>
      <c r="M1058" t="s">
        <v>6</v>
      </c>
    </row>
    <row r="1059" spans="1:13" x14ac:dyDescent="0.25">
      <c r="A1059" s="3" t="s">
        <v>152</v>
      </c>
      <c r="B1059" s="4">
        <v>10</v>
      </c>
      <c r="C1059" s="4"/>
      <c r="D1059" s="4" t="s">
        <v>151</v>
      </c>
      <c r="E1059" s="4" t="s">
        <v>6</v>
      </c>
      <c r="F1059">
        <f>COUNTIFS($D$2:D1059,D1059)</f>
        <v>31</v>
      </c>
      <c r="G1059" t="str">
        <f t="shared" si="16"/>
        <v>3871H</v>
      </c>
      <c r="H1059">
        <v>5.4534162000000004</v>
      </c>
      <c r="I1059">
        <v>52.172376999999997</v>
      </c>
      <c r="J1059" t="s">
        <v>479</v>
      </c>
      <c r="K1059" t="s">
        <v>264</v>
      </c>
      <c r="L1059" t="s">
        <v>151</v>
      </c>
      <c r="M1059" t="s">
        <v>6</v>
      </c>
    </row>
    <row r="1060" spans="1:13" x14ac:dyDescent="0.25">
      <c r="A1060" s="3" t="s">
        <v>152</v>
      </c>
      <c r="B1060" s="4">
        <v>12</v>
      </c>
      <c r="C1060" s="4"/>
      <c r="D1060" s="4" t="s">
        <v>151</v>
      </c>
      <c r="E1060" s="4" t="s">
        <v>6</v>
      </c>
      <c r="F1060">
        <f>COUNTIFS($D$2:D1060,D1060)</f>
        <v>32</v>
      </c>
      <c r="G1060" t="str">
        <f t="shared" si="16"/>
        <v>3871H</v>
      </c>
      <c r="H1060">
        <v>5.4534229999999999</v>
      </c>
      <c r="I1060">
        <v>52.172311200000003</v>
      </c>
      <c r="J1060" t="s">
        <v>479</v>
      </c>
      <c r="K1060" t="s">
        <v>265</v>
      </c>
      <c r="L1060" t="s">
        <v>151</v>
      </c>
      <c r="M1060" t="s">
        <v>6</v>
      </c>
    </row>
    <row r="1061" spans="1:13" x14ac:dyDescent="0.25">
      <c r="A1061" s="3" t="s">
        <v>152</v>
      </c>
      <c r="B1061" s="4">
        <v>14</v>
      </c>
      <c r="C1061" s="4"/>
      <c r="D1061" s="4" t="s">
        <v>151</v>
      </c>
      <c r="E1061" s="4" t="s">
        <v>6</v>
      </c>
      <c r="F1061">
        <f>COUNTIFS($D$2:D1061,D1061)</f>
        <v>33</v>
      </c>
      <c r="G1061" t="str">
        <f t="shared" si="16"/>
        <v>3871H</v>
      </c>
      <c r="H1061">
        <v>5.4534301000000003</v>
      </c>
      <c r="I1061">
        <v>52.172242500000003</v>
      </c>
      <c r="J1061" t="s">
        <v>479</v>
      </c>
      <c r="K1061" t="s">
        <v>266</v>
      </c>
      <c r="L1061" t="s">
        <v>151</v>
      </c>
      <c r="M1061" t="s">
        <v>6</v>
      </c>
    </row>
    <row r="1062" spans="1:13" x14ac:dyDescent="0.25">
      <c r="A1062" s="3" t="s">
        <v>152</v>
      </c>
      <c r="B1062" s="4">
        <v>16</v>
      </c>
      <c r="C1062" s="4"/>
      <c r="D1062" s="4" t="s">
        <v>151</v>
      </c>
      <c r="E1062" s="4" t="s">
        <v>6</v>
      </c>
      <c r="F1062">
        <f>COUNTIFS($D$2:D1062,D1062)</f>
        <v>34</v>
      </c>
      <c r="G1062" t="str">
        <f t="shared" si="16"/>
        <v>3871H</v>
      </c>
      <c r="H1062">
        <v>5.4534368999999998</v>
      </c>
      <c r="I1062">
        <v>52.172176700000001</v>
      </c>
      <c r="J1062" t="s">
        <v>479</v>
      </c>
      <c r="K1062" t="s">
        <v>371</v>
      </c>
      <c r="L1062" t="s">
        <v>151</v>
      </c>
      <c r="M1062" t="s">
        <v>6</v>
      </c>
    </row>
    <row r="1063" spans="1:13" x14ac:dyDescent="0.25">
      <c r="A1063" s="3" t="s">
        <v>152</v>
      </c>
      <c r="B1063" s="4">
        <v>18</v>
      </c>
      <c r="C1063" s="4"/>
      <c r="D1063" s="4" t="s">
        <v>151</v>
      </c>
      <c r="E1063" s="4" t="s">
        <v>6</v>
      </c>
      <c r="F1063">
        <f>COUNTIFS($D$2:D1063,D1063)</f>
        <v>35</v>
      </c>
      <c r="G1063" t="str">
        <f t="shared" si="16"/>
        <v>3871H</v>
      </c>
      <c r="H1063">
        <v>5.4534440999999996</v>
      </c>
      <c r="I1063">
        <v>52.1721079</v>
      </c>
      <c r="J1063" t="s">
        <v>479</v>
      </c>
      <c r="K1063" t="s">
        <v>267</v>
      </c>
      <c r="L1063" t="s">
        <v>151</v>
      </c>
      <c r="M1063" t="s">
        <v>6</v>
      </c>
    </row>
    <row r="1064" spans="1:13" x14ac:dyDescent="0.25">
      <c r="A1064" s="3" t="s">
        <v>152</v>
      </c>
      <c r="B1064" s="4">
        <v>20</v>
      </c>
      <c r="C1064" s="4"/>
      <c r="D1064" s="4" t="s">
        <v>151</v>
      </c>
      <c r="E1064" s="4" t="s">
        <v>6</v>
      </c>
      <c r="F1064">
        <f>COUNTIFS($D$2:D1064,D1064)</f>
        <v>36</v>
      </c>
      <c r="G1064" t="str">
        <f t="shared" si="16"/>
        <v>3871H</v>
      </c>
      <c r="H1064">
        <v>5.4534633000000001</v>
      </c>
      <c r="I1064">
        <v>52.172042599999997</v>
      </c>
      <c r="J1064" t="s">
        <v>479</v>
      </c>
      <c r="K1064" t="s">
        <v>372</v>
      </c>
      <c r="L1064" t="s">
        <v>151</v>
      </c>
      <c r="M1064" t="s">
        <v>6</v>
      </c>
    </row>
    <row r="1065" spans="1:13" x14ac:dyDescent="0.25">
      <c r="A1065" s="3" t="s">
        <v>152</v>
      </c>
      <c r="B1065" s="4">
        <v>22</v>
      </c>
      <c r="C1065" s="4"/>
      <c r="D1065" s="4" t="s">
        <v>151</v>
      </c>
      <c r="E1065" s="4" t="s">
        <v>6</v>
      </c>
      <c r="F1065">
        <f>COUNTIFS($D$2:D1065,D1065)</f>
        <v>37</v>
      </c>
      <c r="G1065" t="str">
        <f t="shared" si="16"/>
        <v>3871H</v>
      </c>
      <c r="H1065">
        <v>5.4534710000000004</v>
      </c>
      <c r="I1065">
        <v>52.171972799999999</v>
      </c>
      <c r="J1065" t="s">
        <v>479</v>
      </c>
      <c r="K1065" t="s">
        <v>269</v>
      </c>
      <c r="L1065" t="s">
        <v>151</v>
      </c>
      <c r="M1065" t="s">
        <v>6</v>
      </c>
    </row>
    <row r="1066" spans="1:13" x14ac:dyDescent="0.25">
      <c r="A1066" s="3" t="s">
        <v>152</v>
      </c>
      <c r="B1066" s="4">
        <v>24</v>
      </c>
      <c r="C1066" s="4"/>
      <c r="D1066" s="4" t="s">
        <v>151</v>
      </c>
      <c r="E1066" s="4" t="s">
        <v>6</v>
      </c>
      <c r="F1066">
        <f>COUNTIFS($D$2:D1066,D1066)</f>
        <v>38</v>
      </c>
      <c r="G1066" t="str">
        <f t="shared" si="16"/>
        <v>3871H</v>
      </c>
      <c r="H1066">
        <v>5.4538067000000003</v>
      </c>
      <c r="I1066">
        <v>52.172068899999999</v>
      </c>
      <c r="J1066" t="s">
        <v>479</v>
      </c>
      <c r="K1066" t="s">
        <v>270</v>
      </c>
      <c r="L1066" t="s">
        <v>151</v>
      </c>
      <c r="M1066" t="s">
        <v>6</v>
      </c>
    </row>
    <row r="1067" spans="1:13" x14ac:dyDescent="0.25">
      <c r="A1067" s="3" t="s">
        <v>152</v>
      </c>
      <c r="B1067" s="4">
        <v>26</v>
      </c>
      <c r="C1067" s="4"/>
      <c r="D1067" s="4" t="s">
        <v>151</v>
      </c>
      <c r="E1067" s="4" t="s">
        <v>6</v>
      </c>
      <c r="F1067">
        <f>COUNTIFS($D$2:D1067,D1067)</f>
        <v>39</v>
      </c>
      <c r="G1067" t="str">
        <f t="shared" si="16"/>
        <v>3871H</v>
      </c>
      <c r="H1067">
        <v>5.4539134000000002</v>
      </c>
      <c r="I1067">
        <v>52.172072399999998</v>
      </c>
      <c r="J1067" t="s">
        <v>479</v>
      </c>
      <c r="K1067" t="s">
        <v>271</v>
      </c>
      <c r="L1067" t="s">
        <v>151</v>
      </c>
      <c r="M1067" t="s">
        <v>6</v>
      </c>
    </row>
    <row r="1068" spans="1:13" x14ac:dyDescent="0.25">
      <c r="A1068" s="3" t="s">
        <v>152</v>
      </c>
      <c r="B1068" s="4">
        <v>28</v>
      </c>
      <c r="C1068" s="4"/>
      <c r="D1068" s="4" t="s">
        <v>151</v>
      </c>
      <c r="E1068" s="4" t="s">
        <v>6</v>
      </c>
      <c r="F1068">
        <f>COUNTIFS($D$2:D1068,D1068)</f>
        <v>40</v>
      </c>
      <c r="G1068" t="str">
        <f t="shared" si="16"/>
        <v>3871H</v>
      </c>
      <c r="H1068">
        <v>5.4540205000000004</v>
      </c>
      <c r="I1068">
        <v>52.172076599999997</v>
      </c>
      <c r="J1068" t="s">
        <v>479</v>
      </c>
      <c r="K1068" t="s">
        <v>272</v>
      </c>
      <c r="L1068" t="s">
        <v>151</v>
      </c>
      <c r="M1068" t="s">
        <v>6</v>
      </c>
    </row>
    <row r="1069" spans="1:13" x14ac:dyDescent="0.25">
      <c r="A1069" s="3" t="s">
        <v>152</v>
      </c>
      <c r="B1069" s="4">
        <v>30</v>
      </c>
      <c r="C1069" s="4"/>
      <c r="D1069" s="4" t="s">
        <v>151</v>
      </c>
      <c r="E1069" s="4" t="s">
        <v>6</v>
      </c>
      <c r="F1069">
        <f>COUNTIFS($D$2:D1069,D1069)</f>
        <v>41</v>
      </c>
      <c r="G1069" t="str">
        <f t="shared" si="16"/>
        <v>3871H</v>
      </c>
      <c r="H1069">
        <v>5.4541322000000001</v>
      </c>
      <c r="I1069">
        <v>52.172080899999997</v>
      </c>
      <c r="J1069" t="s">
        <v>479</v>
      </c>
      <c r="K1069" t="s">
        <v>373</v>
      </c>
      <c r="L1069" t="s">
        <v>151</v>
      </c>
      <c r="M1069" t="s">
        <v>6</v>
      </c>
    </row>
    <row r="1070" spans="1:13" x14ac:dyDescent="0.25">
      <c r="A1070" s="3" t="s">
        <v>152</v>
      </c>
      <c r="B1070" s="4">
        <v>32</v>
      </c>
      <c r="C1070" s="4"/>
      <c r="D1070" s="4" t="s">
        <v>151</v>
      </c>
      <c r="E1070" s="4" t="s">
        <v>6</v>
      </c>
      <c r="F1070">
        <f>COUNTIFS($D$2:D1070,D1070)</f>
        <v>42</v>
      </c>
      <c r="G1070" t="str">
        <f t="shared" si="16"/>
        <v>3871H</v>
      </c>
      <c r="H1070">
        <v>5.4542320000000002</v>
      </c>
      <c r="I1070">
        <v>52.172083700000002</v>
      </c>
      <c r="J1070" t="s">
        <v>479</v>
      </c>
      <c r="K1070" t="s">
        <v>273</v>
      </c>
      <c r="L1070" t="s">
        <v>151</v>
      </c>
      <c r="M1070" t="s">
        <v>6</v>
      </c>
    </row>
    <row r="1071" spans="1:13" x14ac:dyDescent="0.25">
      <c r="A1071" s="3" t="s">
        <v>153</v>
      </c>
      <c r="B1071" s="4">
        <v>1</v>
      </c>
      <c r="C1071" s="4"/>
      <c r="D1071" s="4" t="s">
        <v>154</v>
      </c>
      <c r="E1071" s="4" t="s">
        <v>6</v>
      </c>
      <c r="F1071">
        <f>COUNTIFS($D$2:D1071,D1071)</f>
        <v>1</v>
      </c>
      <c r="G1071" t="str">
        <f t="shared" si="16"/>
        <v>3871J</v>
      </c>
      <c r="H1071">
        <v>5.4578423000000003</v>
      </c>
      <c r="I1071">
        <v>52.174582899999997</v>
      </c>
      <c r="J1071" t="s">
        <v>480</v>
      </c>
      <c r="K1071" t="s">
        <v>355</v>
      </c>
      <c r="L1071" t="s">
        <v>154</v>
      </c>
      <c r="M1071" t="s">
        <v>6</v>
      </c>
    </row>
    <row r="1072" spans="1:13" x14ac:dyDescent="0.25">
      <c r="A1072" s="3" t="s">
        <v>153</v>
      </c>
      <c r="B1072" s="4">
        <v>3</v>
      </c>
      <c r="C1072" s="4"/>
      <c r="D1072" s="4" t="s">
        <v>154</v>
      </c>
      <c r="E1072" s="4" t="s">
        <v>6</v>
      </c>
      <c r="F1072">
        <f>COUNTIFS($D$2:D1072,D1072)</f>
        <v>2</v>
      </c>
      <c r="G1072" t="str">
        <f t="shared" si="16"/>
        <v>3871J</v>
      </c>
      <c r="H1072">
        <v>5.4578566000000004</v>
      </c>
      <c r="I1072">
        <v>52.1743582</v>
      </c>
      <c r="J1072" t="s">
        <v>480</v>
      </c>
      <c r="K1072" t="s">
        <v>356</v>
      </c>
      <c r="L1072" t="s">
        <v>154</v>
      </c>
      <c r="M1072" t="s">
        <v>6</v>
      </c>
    </row>
    <row r="1073" spans="1:13" x14ac:dyDescent="0.25">
      <c r="A1073" s="3" t="s">
        <v>153</v>
      </c>
      <c r="B1073" s="4">
        <v>5</v>
      </c>
      <c r="C1073" s="4"/>
      <c r="D1073" s="4" t="s">
        <v>154</v>
      </c>
      <c r="E1073" s="4" t="s">
        <v>6</v>
      </c>
      <c r="F1073">
        <f>COUNTIFS($D$2:D1073,D1073)</f>
        <v>3</v>
      </c>
      <c r="G1073" t="str">
        <f t="shared" si="16"/>
        <v>3871J</v>
      </c>
      <c r="H1073">
        <v>5.4578563000000004</v>
      </c>
      <c r="I1073">
        <v>52.174214399999997</v>
      </c>
      <c r="J1073" t="s">
        <v>480</v>
      </c>
      <c r="K1073" t="s">
        <v>357</v>
      </c>
      <c r="L1073" t="s">
        <v>154</v>
      </c>
      <c r="M1073" t="s">
        <v>6</v>
      </c>
    </row>
    <row r="1074" spans="1:13" x14ac:dyDescent="0.25">
      <c r="A1074" s="3" t="s">
        <v>153</v>
      </c>
      <c r="B1074" s="4">
        <v>7</v>
      </c>
      <c r="C1074" s="4"/>
      <c r="D1074" s="4" t="s">
        <v>154</v>
      </c>
      <c r="E1074" s="4" t="s">
        <v>6</v>
      </c>
      <c r="F1074">
        <f>COUNTIFS($D$2:D1074,D1074)</f>
        <v>4</v>
      </c>
      <c r="G1074" t="str">
        <f t="shared" si="16"/>
        <v>3871J</v>
      </c>
      <c r="H1074">
        <v>5.4578707</v>
      </c>
      <c r="I1074">
        <v>52.174043599999997</v>
      </c>
      <c r="J1074" t="s">
        <v>480</v>
      </c>
      <c r="K1074" t="s">
        <v>358</v>
      </c>
      <c r="L1074" t="s">
        <v>154</v>
      </c>
      <c r="M1074" t="s">
        <v>6</v>
      </c>
    </row>
    <row r="1075" spans="1:13" x14ac:dyDescent="0.25">
      <c r="A1075" s="3" t="s">
        <v>153</v>
      </c>
      <c r="B1075" s="4">
        <v>9</v>
      </c>
      <c r="C1075" s="4"/>
      <c r="D1075" s="4" t="s">
        <v>154</v>
      </c>
      <c r="E1075" s="4" t="s">
        <v>6</v>
      </c>
      <c r="F1075">
        <f>COUNTIFS($D$2:D1075,D1075)</f>
        <v>5</v>
      </c>
      <c r="G1075" t="str">
        <f t="shared" si="16"/>
        <v>3871J</v>
      </c>
      <c r="H1075">
        <v>5.4579085000000003</v>
      </c>
      <c r="I1075">
        <v>52.173927399999997</v>
      </c>
      <c r="J1075" t="s">
        <v>480</v>
      </c>
      <c r="K1075" t="s">
        <v>382</v>
      </c>
      <c r="L1075" t="s">
        <v>154</v>
      </c>
      <c r="M1075" t="s">
        <v>6</v>
      </c>
    </row>
    <row r="1076" spans="1:13" x14ac:dyDescent="0.25">
      <c r="A1076" s="3" t="s">
        <v>153</v>
      </c>
      <c r="B1076" s="4">
        <v>11</v>
      </c>
      <c r="C1076" s="4"/>
      <c r="D1076" s="4" t="s">
        <v>154</v>
      </c>
      <c r="E1076" s="4" t="s">
        <v>6</v>
      </c>
      <c r="F1076">
        <f>COUNTIFS($D$2:D1076,D1076)</f>
        <v>6</v>
      </c>
      <c r="G1076" t="str">
        <f t="shared" si="16"/>
        <v>3871J</v>
      </c>
      <c r="H1076">
        <v>5.4578994999999999</v>
      </c>
      <c r="I1076">
        <v>52.173765000000003</v>
      </c>
      <c r="J1076" t="s">
        <v>480</v>
      </c>
      <c r="K1076" t="s">
        <v>391</v>
      </c>
      <c r="L1076" t="s">
        <v>154</v>
      </c>
      <c r="M1076" t="s">
        <v>6</v>
      </c>
    </row>
    <row r="1077" spans="1:13" x14ac:dyDescent="0.25">
      <c r="A1077" s="3" t="s">
        <v>153</v>
      </c>
      <c r="B1077" s="4">
        <v>13</v>
      </c>
      <c r="C1077" s="4"/>
      <c r="D1077" s="4" t="s">
        <v>154</v>
      </c>
      <c r="E1077" s="4" t="s">
        <v>6</v>
      </c>
      <c r="F1077">
        <f>COUNTIFS($D$2:D1077,D1077)</f>
        <v>7</v>
      </c>
      <c r="G1077" t="str">
        <f t="shared" si="16"/>
        <v>3871J</v>
      </c>
      <c r="H1077">
        <v>5.4579138</v>
      </c>
      <c r="I1077">
        <v>52.173603200000002</v>
      </c>
      <c r="J1077" t="s">
        <v>480</v>
      </c>
      <c r="K1077" t="s">
        <v>359</v>
      </c>
      <c r="L1077" t="s">
        <v>154</v>
      </c>
      <c r="M1077" t="s">
        <v>6</v>
      </c>
    </row>
    <row r="1078" spans="1:13" x14ac:dyDescent="0.25">
      <c r="A1078" s="3" t="s">
        <v>153</v>
      </c>
      <c r="B1078" s="4">
        <v>15</v>
      </c>
      <c r="C1078" s="4"/>
      <c r="D1078" s="4" t="s">
        <v>154</v>
      </c>
      <c r="E1078" s="4" t="s">
        <v>6</v>
      </c>
      <c r="F1078">
        <f>COUNTIFS($D$2:D1078,D1078)</f>
        <v>8</v>
      </c>
      <c r="G1078" t="str">
        <f t="shared" si="16"/>
        <v>3871J</v>
      </c>
      <c r="H1078">
        <v>5.4579136999999998</v>
      </c>
      <c r="I1078">
        <v>52.1735313</v>
      </c>
      <c r="J1078" t="s">
        <v>480</v>
      </c>
      <c r="K1078" t="s">
        <v>383</v>
      </c>
      <c r="L1078" t="s">
        <v>154</v>
      </c>
      <c r="M1078" t="s">
        <v>6</v>
      </c>
    </row>
    <row r="1079" spans="1:13" x14ac:dyDescent="0.25">
      <c r="A1079" s="3" t="s">
        <v>153</v>
      </c>
      <c r="B1079" s="4">
        <v>17</v>
      </c>
      <c r="C1079" s="4"/>
      <c r="D1079" s="4" t="s">
        <v>154</v>
      </c>
      <c r="E1079" s="4" t="s">
        <v>6</v>
      </c>
      <c r="F1079">
        <f>COUNTIFS($D$2:D1079,D1079)</f>
        <v>9</v>
      </c>
      <c r="G1079" t="str">
        <f t="shared" si="16"/>
        <v>3871J</v>
      </c>
      <c r="H1079">
        <v>5.4579281000000002</v>
      </c>
      <c r="I1079">
        <v>52.173405500000001</v>
      </c>
      <c r="J1079" t="s">
        <v>480</v>
      </c>
      <c r="K1079" t="s">
        <v>360</v>
      </c>
      <c r="L1079" t="s">
        <v>154</v>
      </c>
      <c r="M1079" t="s">
        <v>6</v>
      </c>
    </row>
    <row r="1080" spans="1:13" x14ac:dyDescent="0.25">
      <c r="A1080" s="3" t="s">
        <v>153</v>
      </c>
      <c r="B1080" s="4">
        <v>19</v>
      </c>
      <c r="C1080" s="4"/>
      <c r="D1080" s="4" t="s">
        <v>154</v>
      </c>
      <c r="E1080" s="4" t="s">
        <v>6</v>
      </c>
      <c r="F1080">
        <f>COUNTIFS($D$2:D1080,D1080)</f>
        <v>10</v>
      </c>
      <c r="G1080" t="str">
        <f t="shared" si="16"/>
        <v>3871J</v>
      </c>
      <c r="H1080">
        <v>5.4579278999999996</v>
      </c>
      <c r="I1080">
        <v>52.1732437</v>
      </c>
      <c r="J1080" t="s">
        <v>480</v>
      </c>
      <c r="K1080" t="s">
        <v>361</v>
      </c>
      <c r="L1080" t="s">
        <v>154</v>
      </c>
      <c r="M1080" t="s">
        <v>6</v>
      </c>
    </row>
    <row r="1081" spans="1:13" x14ac:dyDescent="0.25">
      <c r="A1081" s="3" t="s">
        <v>153</v>
      </c>
      <c r="B1081" s="4">
        <v>21</v>
      </c>
      <c r="C1081" s="4" t="s">
        <v>8</v>
      </c>
      <c r="D1081" s="4" t="s">
        <v>154</v>
      </c>
      <c r="E1081" s="4" t="s">
        <v>6</v>
      </c>
      <c r="F1081">
        <f>COUNTIFS($D$2:D1081,D1081)</f>
        <v>11</v>
      </c>
      <c r="G1081" t="str">
        <f t="shared" si="16"/>
        <v>3871J</v>
      </c>
      <c r="H1081">
        <v>5.4580164</v>
      </c>
      <c r="I1081">
        <v>52.172783500000001</v>
      </c>
      <c r="J1081" t="s">
        <v>480</v>
      </c>
      <c r="K1081" t="s">
        <v>481</v>
      </c>
      <c r="L1081" t="s">
        <v>154</v>
      </c>
      <c r="M1081" t="s">
        <v>6</v>
      </c>
    </row>
    <row r="1082" spans="1:13" x14ac:dyDescent="0.25">
      <c r="A1082" s="3" t="s">
        <v>153</v>
      </c>
      <c r="B1082" s="4">
        <v>21</v>
      </c>
      <c r="C1082" s="4" t="s">
        <v>12</v>
      </c>
      <c r="D1082" s="4" t="s">
        <v>154</v>
      </c>
      <c r="E1082" s="4" t="s">
        <v>6</v>
      </c>
      <c r="F1082">
        <f>COUNTIFS($D$2:D1082,D1082)</f>
        <v>12</v>
      </c>
      <c r="G1082" t="str">
        <f t="shared" si="16"/>
        <v>3871J</v>
      </c>
      <c r="H1082">
        <v>5.4580267999999998</v>
      </c>
      <c r="I1082">
        <v>52.172618</v>
      </c>
      <c r="J1082" t="s">
        <v>480</v>
      </c>
      <c r="K1082" t="s">
        <v>482</v>
      </c>
      <c r="L1082" t="s">
        <v>154</v>
      </c>
      <c r="M1082" t="s">
        <v>6</v>
      </c>
    </row>
    <row r="1083" spans="1:13" x14ac:dyDescent="0.25">
      <c r="A1083" s="3" t="s">
        <v>153</v>
      </c>
      <c r="B1083" s="4">
        <v>21</v>
      </c>
      <c r="C1083" s="4"/>
      <c r="D1083" s="4" t="s">
        <v>154</v>
      </c>
      <c r="E1083" s="4" t="s">
        <v>6</v>
      </c>
      <c r="F1083">
        <f>COUNTIFS($D$2:D1083,D1083)</f>
        <v>13</v>
      </c>
      <c r="G1083" t="str">
        <f t="shared" si="16"/>
        <v>3871J</v>
      </c>
      <c r="H1083">
        <v>5.4579861000000003</v>
      </c>
      <c r="I1083">
        <v>52.173072900000001</v>
      </c>
      <c r="J1083" t="s">
        <v>480</v>
      </c>
      <c r="K1083" t="s">
        <v>362</v>
      </c>
      <c r="L1083" t="s">
        <v>154</v>
      </c>
      <c r="M1083" t="s">
        <v>6</v>
      </c>
    </row>
    <row r="1084" spans="1:13" x14ac:dyDescent="0.25">
      <c r="A1084" s="3" t="s">
        <v>153</v>
      </c>
      <c r="B1084" s="4">
        <v>21</v>
      </c>
      <c r="C1084" s="4" t="s">
        <v>13</v>
      </c>
      <c r="D1084" s="4" t="s">
        <v>154</v>
      </c>
      <c r="E1084" s="4" t="s">
        <v>6</v>
      </c>
      <c r="F1084">
        <f>COUNTIFS($D$2:D1084,D1084)</f>
        <v>14</v>
      </c>
      <c r="G1084" t="str">
        <f t="shared" si="16"/>
        <v>3871J</v>
      </c>
      <c r="H1084">
        <v>5.4580327000000004</v>
      </c>
      <c r="I1084">
        <v>52.172500399999997</v>
      </c>
      <c r="J1084" t="s">
        <v>480</v>
      </c>
      <c r="K1084" t="s">
        <v>483</v>
      </c>
      <c r="L1084" t="s">
        <v>154</v>
      </c>
      <c r="M1084" t="s">
        <v>6</v>
      </c>
    </row>
    <row r="1085" spans="1:13" x14ac:dyDescent="0.25">
      <c r="A1085" s="3" t="s">
        <v>153</v>
      </c>
      <c r="B1085" s="4">
        <v>21</v>
      </c>
      <c r="C1085" s="4" t="s">
        <v>14</v>
      </c>
      <c r="D1085" s="4" t="s">
        <v>154</v>
      </c>
      <c r="E1085" s="4" t="s">
        <v>6</v>
      </c>
      <c r="F1085">
        <f>COUNTIFS($D$2:D1085,D1085)</f>
        <v>15</v>
      </c>
      <c r="G1085" t="str">
        <f t="shared" si="16"/>
        <v>3871J</v>
      </c>
      <c r="H1085">
        <v>5.4580371999999997</v>
      </c>
      <c r="I1085">
        <v>52.172447699999999</v>
      </c>
      <c r="J1085" t="s">
        <v>480</v>
      </c>
      <c r="K1085" t="s">
        <v>484</v>
      </c>
      <c r="L1085" t="s">
        <v>154</v>
      </c>
      <c r="M1085" t="s">
        <v>6</v>
      </c>
    </row>
    <row r="1086" spans="1:13" x14ac:dyDescent="0.25">
      <c r="A1086" s="3" t="s">
        <v>153</v>
      </c>
      <c r="B1086" s="4">
        <v>23</v>
      </c>
      <c r="C1086" s="4"/>
      <c r="D1086" s="4" t="s">
        <v>154</v>
      </c>
      <c r="E1086" s="4" t="s">
        <v>6</v>
      </c>
      <c r="F1086">
        <f>COUNTIFS($D$2:D1086,D1086)</f>
        <v>16</v>
      </c>
      <c r="G1086" t="str">
        <f t="shared" si="16"/>
        <v>3871J</v>
      </c>
      <c r="H1086">
        <v>5.4580025000000001</v>
      </c>
      <c r="I1086">
        <v>52.1723189</v>
      </c>
      <c r="J1086" t="s">
        <v>480</v>
      </c>
      <c r="K1086" t="s">
        <v>384</v>
      </c>
      <c r="L1086" t="s">
        <v>154</v>
      </c>
      <c r="M1086" t="s">
        <v>6</v>
      </c>
    </row>
    <row r="1087" spans="1:13" x14ac:dyDescent="0.25">
      <c r="A1087" s="3" t="s">
        <v>153</v>
      </c>
      <c r="B1087" s="4">
        <v>25</v>
      </c>
      <c r="C1087" s="4"/>
      <c r="D1087" s="4" t="s">
        <v>154</v>
      </c>
      <c r="E1087" s="4" t="s">
        <v>6</v>
      </c>
      <c r="F1087">
        <f>COUNTIFS($D$2:D1087,D1087)</f>
        <v>17</v>
      </c>
      <c r="G1087" t="str">
        <f t="shared" si="16"/>
        <v>3871J</v>
      </c>
      <c r="H1087">
        <v>5.4580795999999996</v>
      </c>
      <c r="I1087">
        <v>52.1717303</v>
      </c>
      <c r="J1087" t="s">
        <v>480</v>
      </c>
      <c r="K1087" t="s">
        <v>385</v>
      </c>
      <c r="L1087" t="s">
        <v>154</v>
      </c>
      <c r="M1087" t="s">
        <v>6</v>
      </c>
    </row>
    <row r="1088" spans="1:13" x14ac:dyDescent="0.25">
      <c r="A1088" s="3" t="s">
        <v>153</v>
      </c>
      <c r="B1088" s="4">
        <v>27</v>
      </c>
      <c r="C1088" s="4"/>
      <c r="D1088" s="4" t="s">
        <v>154</v>
      </c>
      <c r="E1088" s="4" t="s">
        <v>6</v>
      </c>
      <c r="F1088">
        <f>COUNTIFS($D$2:D1088,D1088)</f>
        <v>18</v>
      </c>
      <c r="G1088" t="str">
        <f t="shared" si="16"/>
        <v>3871J</v>
      </c>
      <c r="H1088">
        <v>5.4581439999999999</v>
      </c>
      <c r="I1088">
        <v>52.171239200000002</v>
      </c>
      <c r="J1088" t="s">
        <v>480</v>
      </c>
      <c r="K1088" t="s">
        <v>393</v>
      </c>
      <c r="L1088" t="s">
        <v>154</v>
      </c>
      <c r="M1088" t="s">
        <v>6</v>
      </c>
    </row>
    <row r="1089" spans="1:13" x14ac:dyDescent="0.25">
      <c r="A1089" s="3" t="s">
        <v>153</v>
      </c>
      <c r="B1089" s="4">
        <v>29</v>
      </c>
      <c r="C1089" s="4"/>
      <c r="D1089" s="4" t="s">
        <v>154</v>
      </c>
      <c r="E1089" s="4" t="s">
        <v>6</v>
      </c>
      <c r="F1089">
        <f>COUNTIFS($D$2:D1089,D1089)</f>
        <v>19</v>
      </c>
      <c r="G1089" t="str">
        <f t="shared" si="16"/>
        <v>3871J</v>
      </c>
      <c r="H1089">
        <v>5.4581581000000003</v>
      </c>
      <c r="I1089">
        <v>52.170933599999998</v>
      </c>
      <c r="J1089" t="s">
        <v>480</v>
      </c>
      <c r="K1089" t="s">
        <v>364</v>
      </c>
      <c r="L1089" t="s">
        <v>154</v>
      </c>
      <c r="M1089" t="s">
        <v>6</v>
      </c>
    </row>
    <row r="1090" spans="1:13" x14ac:dyDescent="0.25">
      <c r="A1090" s="3" t="s">
        <v>153</v>
      </c>
      <c r="B1090" s="4">
        <v>31</v>
      </c>
      <c r="C1090" s="4"/>
      <c r="D1090" s="4" t="s">
        <v>154</v>
      </c>
      <c r="E1090" s="4" t="s">
        <v>6</v>
      </c>
      <c r="F1090">
        <f>COUNTIFS($D$2:D1090,D1090)</f>
        <v>20</v>
      </c>
      <c r="G1090" t="str">
        <f t="shared" ref="G1090:G1153" si="17">LEFT(A1090,5)</f>
        <v>3871J</v>
      </c>
      <c r="H1090">
        <v>5.4587814000000003</v>
      </c>
      <c r="I1090">
        <v>52.167634700000001</v>
      </c>
      <c r="J1090" t="s">
        <v>480</v>
      </c>
      <c r="K1090" t="s">
        <v>323</v>
      </c>
      <c r="L1090" t="s">
        <v>154</v>
      </c>
      <c r="M1090" t="s">
        <v>6</v>
      </c>
    </row>
    <row r="1091" spans="1:13" x14ac:dyDescent="0.25">
      <c r="A1091" s="3" t="s">
        <v>155</v>
      </c>
      <c r="B1091" s="4">
        <v>2</v>
      </c>
      <c r="C1091" s="4"/>
      <c r="D1091" s="4" t="s">
        <v>154</v>
      </c>
      <c r="E1091" s="4" t="s">
        <v>6</v>
      </c>
      <c r="F1091">
        <f>COUNTIFS($D$2:D1091,D1091)</f>
        <v>21</v>
      </c>
      <c r="G1091" t="str">
        <f t="shared" si="17"/>
        <v>3871J</v>
      </c>
      <c r="H1091">
        <v>5.4572729999999998</v>
      </c>
      <c r="I1091">
        <v>52.175122500000001</v>
      </c>
      <c r="J1091" t="s">
        <v>485</v>
      </c>
      <c r="K1091" t="s">
        <v>370</v>
      </c>
      <c r="L1091" t="s">
        <v>154</v>
      </c>
      <c r="M1091" t="s">
        <v>6</v>
      </c>
    </row>
    <row r="1092" spans="1:13" x14ac:dyDescent="0.25">
      <c r="A1092" s="3" t="s">
        <v>155</v>
      </c>
      <c r="B1092" s="4">
        <v>4</v>
      </c>
      <c r="C1092" s="4"/>
      <c r="D1092" s="4" t="s">
        <v>154</v>
      </c>
      <c r="E1092" s="4" t="s">
        <v>6</v>
      </c>
      <c r="F1092">
        <f>COUNTIFS($D$2:D1092,D1092)</f>
        <v>22</v>
      </c>
      <c r="G1092" t="str">
        <f t="shared" si="17"/>
        <v>3871J</v>
      </c>
      <c r="H1092">
        <v>5.4572874000000002</v>
      </c>
      <c r="I1092">
        <v>52.174996700000001</v>
      </c>
      <c r="J1092" t="s">
        <v>485</v>
      </c>
      <c r="K1092" t="s">
        <v>260</v>
      </c>
      <c r="L1092" t="s">
        <v>154</v>
      </c>
      <c r="M1092" t="s">
        <v>6</v>
      </c>
    </row>
    <row r="1093" spans="1:13" x14ac:dyDescent="0.25">
      <c r="A1093" s="3" t="s">
        <v>155</v>
      </c>
      <c r="B1093" s="4">
        <v>4</v>
      </c>
      <c r="C1093" s="4" t="s">
        <v>12</v>
      </c>
      <c r="D1093" s="4" t="s">
        <v>154</v>
      </c>
      <c r="E1093" s="4" t="s">
        <v>6</v>
      </c>
      <c r="F1093">
        <f>COUNTIFS($D$2:D1093,D1093)</f>
        <v>23</v>
      </c>
      <c r="G1093" t="str">
        <f t="shared" si="17"/>
        <v>3871J</v>
      </c>
      <c r="H1093">
        <v>5.4572935999999999</v>
      </c>
      <c r="I1093">
        <v>52.174963400000003</v>
      </c>
      <c r="J1093" t="s">
        <v>485</v>
      </c>
      <c r="K1093" t="s">
        <v>486</v>
      </c>
      <c r="L1093" t="s">
        <v>154</v>
      </c>
      <c r="M1093" t="s">
        <v>6</v>
      </c>
    </row>
    <row r="1094" spans="1:13" x14ac:dyDescent="0.25">
      <c r="A1094" s="3" t="s">
        <v>155</v>
      </c>
      <c r="B1094" s="4">
        <v>4</v>
      </c>
      <c r="C1094" s="4" t="s">
        <v>94</v>
      </c>
      <c r="D1094" s="4" t="s">
        <v>154</v>
      </c>
      <c r="E1094" s="4" t="s">
        <v>6</v>
      </c>
      <c r="F1094">
        <f>COUNTIFS($D$2:D1094,D1094)</f>
        <v>24</v>
      </c>
      <c r="G1094" t="str">
        <f t="shared" si="17"/>
        <v>3871J</v>
      </c>
      <c r="H1094">
        <v>5.4573207999999997</v>
      </c>
      <c r="I1094">
        <v>52.174947699999997</v>
      </c>
      <c r="J1094" t="s">
        <v>485</v>
      </c>
      <c r="K1094" t="s">
        <v>487</v>
      </c>
      <c r="L1094" t="s">
        <v>154</v>
      </c>
      <c r="M1094" t="s">
        <v>6</v>
      </c>
    </row>
    <row r="1095" spans="1:13" x14ac:dyDescent="0.25">
      <c r="A1095" s="3" t="s">
        <v>155</v>
      </c>
      <c r="B1095" s="4">
        <v>4</v>
      </c>
      <c r="C1095" s="4" t="s">
        <v>95</v>
      </c>
      <c r="D1095" s="4" t="s">
        <v>154</v>
      </c>
      <c r="E1095" s="4" t="s">
        <v>6</v>
      </c>
      <c r="F1095">
        <f>COUNTIFS($D$2:D1095,D1095)</f>
        <v>25</v>
      </c>
      <c r="G1095" t="str">
        <f t="shared" si="17"/>
        <v>3871J</v>
      </c>
      <c r="H1095">
        <v>5.4572874000000002</v>
      </c>
      <c r="I1095">
        <v>52.1750057</v>
      </c>
      <c r="J1095" t="s">
        <v>485</v>
      </c>
      <c r="K1095" t="s">
        <v>488</v>
      </c>
      <c r="L1095" t="s">
        <v>154</v>
      </c>
      <c r="M1095" t="s">
        <v>6</v>
      </c>
    </row>
    <row r="1096" spans="1:13" x14ac:dyDescent="0.25">
      <c r="A1096" s="3" t="s">
        <v>155</v>
      </c>
      <c r="B1096" s="4">
        <v>4</v>
      </c>
      <c r="C1096" s="4" t="s">
        <v>8</v>
      </c>
      <c r="D1096" s="4" t="s">
        <v>154</v>
      </c>
      <c r="E1096" s="4" t="s">
        <v>6</v>
      </c>
      <c r="F1096">
        <f>COUNTIFS($D$2:D1096,D1096)</f>
        <v>26</v>
      </c>
      <c r="G1096" t="str">
        <f t="shared" si="17"/>
        <v>3871J</v>
      </c>
      <c r="H1096">
        <v>5.4572737</v>
      </c>
      <c r="I1096">
        <v>52.174954</v>
      </c>
      <c r="J1096" t="s">
        <v>485</v>
      </c>
      <c r="K1096" t="s">
        <v>259</v>
      </c>
      <c r="L1096" t="s">
        <v>154</v>
      </c>
      <c r="M1096" t="s">
        <v>6</v>
      </c>
    </row>
    <row r="1097" spans="1:13" x14ac:dyDescent="0.25">
      <c r="A1097" s="3" t="s">
        <v>155</v>
      </c>
      <c r="B1097" s="4">
        <v>4</v>
      </c>
      <c r="C1097" s="4" t="s">
        <v>13</v>
      </c>
      <c r="D1097" s="4" t="s">
        <v>154</v>
      </c>
      <c r="E1097" s="4" t="s">
        <v>6</v>
      </c>
      <c r="F1097">
        <f>COUNTIFS($D$2:D1097,D1097)</f>
        <v>27</v>
      </c>
      <c r="G1097" t="str">
        <f t="shared" si="17"/>
        <v>3871J</v>
      </c>
      <c r="H1097">
        <v>5.4572582000000001</v>
      </c>
      <c r="I1097">
        <v>52.175023699999997</v>
      </c>
      <c r="J1097" t="s">
        <v>485</v>
      </c>
      <c r="K1097" t="s">
        <v>489</v>
      </c>
      <c r="L1097" t="s">
        <v>154</v>
      </c>
      <c r="M1097" t="s">
        <v>6</v>
      </c>
    </row>
    <row r="1098" spans="1:13" x14ac:dyDescent="0.25">
      <c r="A1098" s="3" t="s">
        <v>155</v>
      </c>
      <c r="B1098" s="4">
        <v>4</v>
      </c>
      <c r="C1098" s="4" t="s">
        <v>16</v>
      </c>
      <c r="D1098" s="4" t="s">
        <v>154</v>
      </c>
      <c r="E1098" s="4" t="s">
        <v>6</v>
      </c>
      <c r="F1098">
        <f>COUNTIFS($D$2:D1098,D1098)</f>
        <v>28</v>
      </c>
      <c r="G1098" t="str">
        <f t="shared" si="17"/>
        <v>3871J</v>
      </c>
      <c r="H1098">
        <v>5.4572874999999996</v>
      </c>
      <c r="I1098">
        <v>52.174938699999998</v>
      </c>
      <c r="J1098" t="s">
        <v>485</v>
      </c>
      <c r="K1098" t="s">
        <v>490</v>
      </c>
      <c r="L1098" t="s">
        <v>154</v>
      </c>
      <c r="M1098" t="s">
        <v>6</v>
      </c>
    </row>
    <row r="1099" spans="1:13" x14ac:dyDescent="0.25">
      <c r="A1099" s="3" t="s">
        <v>155</v>
      </c>
      <c r="B1099" s="4">
        <v>4</v>
      </c>
      <c r="C1099" s="4" t="s">
        <v>17</v>
      </c>
      <c r="D1099" s="4" t="s">
        <v>154</v>
      </c>
      <c r="E1099" s="4" t="s">
        <v>6</v>
      </c>
      <c r="F1099">
        <f>COUNTIFS($D$2:D1099,D1099)</f>
        <v>29</v>
      </c>
      <c r="G1099" t="str">
        <f t="shared" si="17"/>
        <v>3871J</v>
      </c>
      <c r="H1099">
        <v>5.4573166000000004</v>
      </c>
      <c r="I1099">
        <v>52.174978699999997</v>
      </c>
      <c r="J1099" t="s">
        <v>485</v>
      </c>
      <c r="K1099" t="s">
        <v>491</v>
      </c>
      <c r="L1099" t="s">
        <v>154</v>
      </c>
      <c r="M1099" t="s">
        <v>6</v>
      </c>
    </row>
    <row r="1100" spans="1:13" x14ac:dyDescent="0.25">
      <c r="A1100" s="3" t="s">
        <v>155</v>
      </c>
      <c r="B1100" s="4">
        <v>4</v>
      </c>
      <c r="C1100" s="4" t="s">
        <v>15</v>
      </c>
      <c r="D1100" s="4" t="s">
        <v>154</v>
      </c>
      <c r="E1100" s="4" t="s">
        <v>6</v>
      </c>
      <c r="F1100">
        <f>COUNTIFS($D$2:D1100,D1100)</f>
        <v>30</v>
      </c>
      <c r="G1100" t="str">
        <f t="shared" si="17"/>
        <v>3871J</v>
      </c>
      <c r="H1100">
        <v>5.4572728000000001</v>
      </c>
      <c r="I1100">
        <v>52.174978699999997</v>
      </c>
      <c r="J1100" t="s">
        <v>485</v>
      </c>
      <c r="K1100" t="s">
        <v>492</v>
      </c>
      <c r="L1100" t="s">
        <v>154</v>
      </c>
      <c r="M1100" t="s">
        <v>6</v>
      </c>
    </row>
    <row r="1101" spans="1:13" x14ac:dyDescent="0.25">
      <c r="A1101" s="3" t="s">
        <v>155</v>
      </c>
      <c r="B1101" s="4">
        <v>4</v>
      </c>
      <c r="C1101" s="4" t="s">
        <v>14</v>
      </c>
      <c r="D1101" s="4" t="s">
        <v>154</v>
      </c>
      <c r="E1101" s="4" t="s">
        <v>6</v>
      </c>
      <c r="F1101">
        <f>COUNTIFS($D$2:D1101,D1101)</f>
        <v>31</v>
      </c>
      <c r="G1101" t="str">
        <f t="shared" si="17"/>
        <v>3871J</v>
      </c>
      <c r="H1101">
        <v>5.4573130000000001</v>
      </c>
      <c r="I1101">
        <v>52.175006500000002</v>
      </c>
      <c r="J1101" t="s">
        <v>485</v>
      </c>
      <c r="K1101" t="s">
        <v>493</v>
      </c>
      <c r="L1101" t="s">
        <v>154</v>
      </c>
      <c r="M1101" t="s">
        <v>6</v>
      </c>
    </row>
    <row r="1102" spans="1:13" x14ac:dyDescent="0.25">
      <c r="A1102" s="3" t="s">
        <v>155</v>
      </c>
      <c r="B1102" s="4">
        <v>6</v>
      </c>
      <c r="C1102" s="4"/>
      <c r="D1102" s="4" t="s">
        <v>154</v>
      </c>
      <c r="E1102" s="4" t="s">
        <v>6</v>
      </c>
      <c r="F1102">
        <f>COUNTIFS($D$2:D1102,D1102)</f>
        <v>32</v>
      </c>
      <c r="G1102" t="str">
        <f t="shared" si="17"/>
        <v>3871J</v>
      </c>
      <c r="H1102">
        <v>5.4573014999999998</v>
      </c>
      <c r="I1102">
        <v>52.174655199999997</v>
      </c>
      <c r="J1102" t="s">
        <v>485</v>
      </c>
      <c r="K1102" t="s">
        <v>262</v>
      </c>
      <c r="L1102" t="s">
        <v>154</v>
      </c>
      <c r="M1102" t="s">
        <v>6</v>
      </c>
    </row>
    <row r="1103" spans="1:13" x14ac:dyDescent="0.25">
      <c r="A1103" s="3" t="s">
        <v>155</v>
      </c>
      <c r="B1103" s="4">
        <v>8</v>
      </c>
      <c r="C1103" s="4"/>
      <c r="D1103" s="4" t="s">
        <v>154</v>
      </c>
      <c r="E1103" s="4" t="s">
        <v>6</v>
      </c>
      <c r="F1103">
        <f>COUNTIFS($D$2:D1103,D1103)</f>
        <v>33</v>
      </c>
      <c r="G1103" t="str">
        <f t="shared" si="17"/>
        <v>3871J</v>
      </c>
      <c r="H1103">
        <v>5.4573159999999996</v>
      </c>
      <c r="I1103">
        <v>52.174592199999999</v>
      </c>
      <c r="J1103" t="s">
        <v>485</v>
      </c>
      <c r="K1103" t="s">
        <v>263</v>
      </c>
      <c r="L1103" t="s">
        <v>154</v>
      </c>
      <c r="M1103" t="s">
        <v>6</v>
      </c>
    </row>
    <row r="1104" spans="1:13" x14ac:dyDescent="0.25">
      <c r="A1104" s="3" t="s">
        <v>155</v>
      </c>
      <c r="B1104" s="4">
        <v>10</v>
      </c>
      <c r="C1104" s="4"/>
      <c r="D1104" s="4" t="s">
        <v>154</v>
      </c>
      <c r="E1104" s="4" t="s">
        <v>6</v>
      </c>
      <c r="F1104">
        <f>COUNTIFS($D$2:D1104,D1104)</f>
        <v>34</v>
      </c>
      <c r="G1104" t="str">
        <f t="shared" si="17"/>
        <v>3871J</v>
      </c>
      <c r="H1104">
        <v>5.4573157999999999</v>
      </c>
      <c r="I1104">
        <v>52.174439399999997</v>
      </c>
      <c r="J1104" t="s">
        <v>485</v>
      </c>
      <c r="K1104" t="s">
        <v>264</v>
      </c>
      <c r="L1104" t="s">
        <v>154</v>
      </c>
      <c r="M1104" t="s">
        <v>6</v>
      </c>
    </row>
    <row r="1105" spans="1:13" x14ac:dyDescent="0.25">
      <c r="A1105" s="3" t="s">
        <v>155</v>
      </c>
      <c r="B1105" s="4">
        <v>12</v>
      </c>
      <c r="C1105" s="4"/>
      <c r="D1105" s="4" t="s">
        <v>154</v>
      </c>
      <c r="E1105" s="4" t="s">
        <v>6</v>
      </c>
      <c r="F1105">
        <f>COUNTIFS($D$2:D1105,D1105)</f>
        <v>35</v>
      </c>
      <c r="G1105" t="str">
        <f t="shared" si="17"/>
        <v>3871J</v>
      </c>
      <c r="H1105">
        <v>5.4573302999999997</v>
      </c>
      <c r="I1105">
        <v>52.174340600000001</v>
      </c>
      <c r="J1105" t="s">
        <v>485</v>
      </c>
      <c r="K1105" t="s">
        <v>265</v>
      </c>
      <c r="L1105" t="s">
        <v>154</v>
      </c>
      <c r="M1105" t="s">
        <v>6</v>
      </c>
    </row>
    <row r="1106" spans="1:13" x14ac:dyDescent="0.25">
      <c r="A1106" s="3" t="s">
        <v>155</v>
      </c>
      <c r="B1106" s="4">
        <v>14</v>
      </c>
      <c r="C1106" s="4"/>
      <c r="D1106" s="4" t="s">
        <v>154</v>
      </c>
      <c r="E1106" s="4" t="s">
        <v>6</v>
      </c>
      <c r="F1106">
        <f>COUNTIFS($D$2:D1106,D1106)</f>
        <v>36</v>
      </c>
      <c r="G1106" t="str">
        <f t="shared" si="17"/>
        <v>3871J</v>
      </c>
      <c r="H1106">
        <v>5.4573447000000002</v>
      </c>
      <c r="I1106">
        <v>52.174223699999999</v>
      </c>
      <c r="J1106" t="s">
        <v>485</v>
      </c>
      <c r="K1106" t="s">
        <v>266</v>
      </c>
      <c r="L1106" t="s">
        <v>154</v>
      </c>
      <c r="M1106" t="s">
        <v>6</v>
      </c>
    </row>
    <row r="1107" spans="1:13" x14ac:dyDescent="0.25">
      <c r="A1107" s="3" t="s">
        <v>155</v>
      </c>
      <c r="B1107" s="4">
        <v>16</v>
      </c>
      <c r="C1107" s="4"/>
      <c r="D1107" s="4" t="s">
        <v>154</v>
      </c>
      <c r="E1107" s="4" t="s">
        <v>6</v>
      </c>
      <c r="F1107">
        <f>COUNTIFS($D$2:D1107,D1107)</f>
        <v>37</v>
      </c>
      <c r="G1107" t="str">
        <f t="shared" si="17"/>
        <v>3871J</v>
      </c>
      <c r="H1107">
        <v>5.4573445999999999</v>
      </c>
      <c r="I1107">
        <v>52.1741338</v>
      </c>
      <c r="J1107" t="s">
        <v>485</v>
      </c>
      <c r="K1107" t="s">
        <v>371</v>
      </c>
      <c r="L1107" t="s">
        <v>154</v>
      </c>
      <c r="M1107" t="s">
        <v>6</v>
      </c>
    </row>
    <row r="1108" spans="1:13" x14ac:dyDescent="0.25">
      <c r="A1108" s="3" t="s">
        <v>155</v>
      </c>
      <c r="B1108" s="4">
        <v>18</v>
      </c>
      <c r="C1108" s="4"/>
      <c r="D1108" s="4" t="s">
        <v>154</v>
      </c>
      <c r="E1108" s="4" t="s">
        <v>6</v>
      </c>
      <c r="F1108">
        <f>COUNTIFS($D$2:D1108,D1108)</f>
        <v>38</v>
      </c>
      <c r="G1108" t="str">
        <f t="shared" si="17"/>
        <v>3871J</v>
      </c>
      <c r="H1108">
        <v>5.4573444999999996</v>
      </c>
      <c r="I1108">
        <v>52.174088900000001</v>
      </c>
      <c r="J1108" t="s">
        <v>485</v>
      </c>
      <c r="K1108" t="s">
        <v>267</v>
      </c>
      <c r="L1108" t="s">
        <v>154</v>
      </c>
      <c r="M1108" t="s">
        <v>6</v>
      </c>
    </row>
    <row r="1109" spans="1:13" x14ac:dyDescent="0.25">
      <c r="A1109" s="3" t="s">
        <v>155</v>
      </c>
      <c r="B1109" s="4">
        <v>20</v>
      </c>
      <c r="C1109" s="4"/>
      <c r="D1109" s="4" t="s">
        <v>154</v>
      </c>
      <c r="E1109" s="4" t="s">
        <v>6</v>
      </c>
      <c r="F1109">
        <f>COUNTIFS($D$2:D1109,D1109)</f>
        <v>39</v>
      </c>
      <c r="G1109" t="str">
        <f t="shared" si="17"/>
        <v>3871J</v>
      </c>
      <c r="H1109">
        <v>5.4573733999999998</v>
      </c>
      <c r="I1109">
        <v>52.1738821</v>
      </c>
      <c r="J1109" t="s">
        <v>485</v>
      </c>
      <c r="K1109" t="s">
        <v>372</v>
      </c>
      <c r="L1109" t="s">
        <v>154</v>
      </c>
      <c r="M1109" t="s">
        <v>6</v>
      </c>
    </row>
    <row r="1110" spans="1:13" x14ac:dyDescent="0.25">
      <c r="A1110" s="3" t="s">
        <v>155</v>
      </c>
      <c r="B1110" s="4">
        <v>22</v>
      </c>
      <c r="C1110" s="4"/>
      <c r="D1110" s="4" t="s">
        <v>154</v>
      </c>
      <c r="E1110" s="4" t="s">
        <v>6</v>
      </c>
      <c r="F1110">
        <f>COUNTIFS($D$2:D1110,D1110)</f>
        <v>40</v>
      </c>
      <c r="G1110" t="str">
        <f t="shared" si="17"/>
        <v>3871J</v>
      </c>
      <c r="H1110">
        <v>5.4573146000000001</v>
      </c>
      <c r="I1110">
        <v>52.173693399999998</v>
      </c>
      <c r="J1110" t="s">
        <v>485</v>
      </c>
      <c r="K1110" t="s">
        <v>269</v>
      </c>
      <c r="L1110" t="s">
        <v>154</v>
      </c>
      <c r="M1110" t="s">
        <v>6</v>
      </c>
    </row>
    <row r="1111" spans="1:13" x14ac:dyDescent="0.25">
      <c r="A1111" s="3" t="s">
        <v>155</v>
      </c>
      <c r="B1111" s="4">
        <v>24</v>
      </c>
      <c r="C1111" s="4"/>
      <c r="D1111" s="4" t="s">
        <v>154</v>
      </c>
      <c r="E1111" s="4" t="s">
        <v>6</v>
      </c>
      <c r="F1111">
        <f>COUNTIFS($D$2:D1111,D1111)</f>
        <v>41</v>
      </c>
      <c r="G1111" t="str">
        <f t="shared" si="17"/>
        <v>3871J</v>
      </c>
      <c r="H1111">
        <v>5.4573583000000001</v>
      </c>
      <c r="I1111">
        <v>52.173567599999998</v>
      </c>
      <c r="J1111" t="s">
        <v>485</v>
      </c>
      <c r="K1111" t="s">
        <v>270</v>
      </c>
      <c r="L1111" t="s">
        <v>154</v>
      </c>
      <c r="M1111" t="s">
        <v>6</v>
      </c>
    </row>
    <row r="1112" spans="1:13" x14ac:dyDescent="0.25">
      <c r="A1112" s="3" t="s">
        <v>155</v>
      </c>
      <c r="B1112" s="4">
        <v>26</v>
      </c>
      <c r="C1112" s="4"/>
      <c r="D1112" s="4" t="s">
        <v>154</v>
      </c>
      <c r="E1112" s="4" t="s">
        <v>6</v>
      </c>
      <c r="F1112">
        <f>COUNTIFS($D$2:D1112,D1112)</f>
        <v>42</v>
      </c>
      <c r="G1112" t="str">
        <f t="shared" si="17"/>
        <v>3871J</v>
      </c>
      <c r="H1112">
        <v>5.4573872999999997</v>
      </c>
      <c r="I1112">
        <v>52.173441699999998</v>
      </c>
      <c r="J1112" t="s">
        <v>485</v>
      </c>
      <c r="K1112" t="s">
        <v>271</v>
      </c>
      <c r="L1112" t="s">
        <v>154</v>
      </c>
      <c r="M1112" t="s">
        <v>6</v>
      </c>
    </row>
    <row r="1113" spans="1:13" x14ac:dyDescent="0.25">
      <c r="A1113" s="3" t="s">
        <v>155</v>
      </c>
      <c r="B1113" s="4">
        <v>28</v>
      </c>
      <c r="C1113" s="4"/>
      <c r="D1113" s="4" t="s">
        <v>154</v>
      </c>
      <c r="E1113" s="4" t="s">
        <v>6</v>
      </c>
      <c r="F1113">
        <f>COUNTIFS($D$2:D1113,D1113)</f>
        <v>43</v>
      </c>
      <c r="G1113" t="str">
        <f t="shared" si="17"/>
        <v>3871J</v>
      </c>
      <c r="H1113">
        <v>5.4574018000000004</v>
      </c>
      <c r="I1113">
        <v>52.173351799999999</v>
      </c>
      <c r="J1113" t="s">
        <v>485</v>
      </c>
      <c r="K1113" t="s">
        <v>272</v>
      </c>
      <c r="L1113" t="s">
        <v>154</v>
      </c>
      <c r="M1113" t="s">
        <v>6</v>
      </c>
    </row>
    <row r="1114" spans="1:13" x14ac:dyDescent="0.25">
      <c r="A1114" s="3" t="s">
        <v>155</v>
      </c>
      <c r="B1114" s="4">
        <v>30</v>
      </c>
      <c r="C1114" s="4"/>
      <c r="D1114" s="4" t="s">
        <v>154</v>
      </c>
      <c r="E1114" s="4" t="s">
        <v>6</v>
      </c>
      <c r="F1114">
        <f>COUNTIFS($D$2:D1114,D1114)</f>
        <v>44</v>
      </c>
      <c r="G1114" t="str">
        <f t="shared" si="17"/>
        <v>3871J</v>
      </c>
      <c r="H1114">
        <v>5.4574163000000002</v>
      </c>
      <c r="I1114">
        <v>52.173262000000001</v>
      </c>
      <c r="J1114" t="s">
        <v>485</v>
      </c>
      <c r="K1114" t="s">
        <v>373</v>
      </c>
      <c r="L1114" t="s">
        <v>154</v>
      </c>
      <c r="M1114" t="s">
        <v>6</v>
      </c>
    </row>
    <row r="1115" spans="1:13" x14ac:dyDescent="0.25">
      <c r="A1115" s="3" t="s">
        <v>155</v>
      </c>
      <c r="B1115" s="4">
        <v>32</v>
      </c>
      <c r="C1115" s="4"/>
      <c r="D1115" s="4" t="s">
        <v>154</v>
      </c>
      <c r="E1115" s="4" t="s">
        <v>6</v>
      </c>
      <c r="F1115">
        <f>COUNTIFS($D$2:D1115,D1115)</f>
        <v>45</v>
      </c>
      <c r="G1115" t="str">
        <f t="shared" si="17"/>
        <v>3871J</v>
      </c>
      <c r="H1115">
        <v>5.4574308</v>
      </c>
      <c r="I1115">
        <v>52.173189999999998</v>
      </c>
      <c r="J1115" t="s">
        <v>485</v>
      </c>
      <c r="K1115" t="s">
        <v>273</v>
      </c>
      <c r="L1115" t="s">
        <v>154</v>
      </c>
      <c r="M1115" t="s">
        <v>6</v>
      </c>
    </row>
    <row r="1116" spans="1:13" x14ac:dyDescent="0.25">
      <c r="A1116" s="3" t="s">
        <v>155</v>
      </c>
      <c r="B1116" s="4">
        <v>34</v>
      </c>
      <c r="C1116" s="4"/>
      <c r="D1116" s="4" t="s">
        <v>154</v>
      </c>
      <c r="E1116" s="4" t="s">
        <v>6</v>
      </c>
      <c r="F1116">
        <f>COUNTIFS($D$2:D1116,D1116)</f>
        <v>46</v>
      </c>
      <c r="G1116" t="str">
        <f t="shared" si="17"/>
        <v>3871J</v>
      </c>
      <c r="H1116">
        <v>5.4574743999999997</v>
      </c>
      <c r="I1116">
        <v>52.173073199999997</v>
      </c>
      <c r="J1116" t="s">
        <v>485</v>
      </c>
      <c r="K1116" t="s">
        <v>274</v>
      </c>
      <c r="L1116" t="s">
        <v>154</v>
      </c>
      <c r="M1116" t="s">
        <v>6</v>
      </c>
    </row>
    <row r="1117" spans="1:13" x14ac:dyDescent="0.25">
      <c r="A1117" s="3" t="s">
        <v>155</v>
      </c>
      <c r="B1117" s="4">
        <v>36</v>
      </c>
      <c r="C1117" s="4"/>
      <c r="D1117" s="4" t="s">
        <v>154</v>
      </c>
      <c r="E1117" s="4" t="s">
        <v>6</v>
      </c>
      <c r="F1117">
        <f>COUNTIFS($D$2:D1117,D1117)</f>
        <v>47</v>
      </c>
      <c r="G1117" t="str">
        <f t="shared" si="17"/>
        <v>3871J</v>
      </c>
      <c r="H1117">
        <v>5.4574597000000002</v>
      </c>
      <c r="I1117">
        <v>52.173001300000003</v>
      </c>
      <c r="J1117" t="s">
        <v>485</v>
      </c>
      <c r="K1117" t="s">
        <v>275</v>
      </c>
      <c r="L1117" t="s">
        <v>154</v>
      </c>
      <c r="M1117" t="s">
        <v>6</v>
      </c>
    </row>
    <row r="1118" spans="1:13" x14ac:dyDescent="0.25">
      <c r="A1118" s="3" t="s">
        <v>155</v>
      </c>
      <c r="B1118" s="4">
        <v>42</v>
      </c>
      <c r="C1118" s="4"/>
      <c r="D1118" s="4" t="s">
        <v>154</v>
      </c>
      <c r="E1118" s="4" t="s">
        <v>6</v>
      </c>
      <c r="F1118">
        <f>COUNTIFS($D$2:D1118,D1118)</f>
        <v>48</v>
      </c>
      <c r="G1118" t="str">
        <f t="shared" si="17"/>
        <v>3871J</v>
      </c>
      <c r="H1118">
        <v>5.4575461000000001</v>
      </c>
      <c r="I1118">
        <v>52.172156399999999</v>
      </c>
      <c r="J1118" t="s">
        <v>485</v>
      </c>
      <c r="K1118" t="s">
        <v>376</v>
      </c>
      <c r="L1118" t="s">
        <v>154</v>
      </c>
      <c r="M1118" t="s">
        <v>6</v>
      </c>
    </row>
    <row r="1119" spans="1:13" x14ac:dyDescent="0.25">
      <c r="A1119" s="3" t="s">
        <v>155</v>
      </c>
      <c r="B1119" s="4">
        <v>44</v>
      </c>
      <c r="C1119" s="4"/>
      <c r="D1119" s="4" t="s">
        <v>154</v>
      </c>
      <c r="E1119" s="4" t="s">
        <v>6</v>
      </c>
      <c r="F1119">
        <f>COUNTIFS($D$2:D1119,D1119)</f>
        <v>49</v>
      </c>
      <c r="G1119" t="str">
        <f t="shared" si="17"/>
        <v>3871J</v>
      </c>
      <c r="H1119">
        <v>5.4575896999999998</v>
      </c>
      <c r="I1119">
        <v>52.172012500000001</v>
      </c>
      <c r="J1119" t="s">
        <v>485</v>
      </c>
      <c r="K1119" t="s">
        <v>377</v>
      </c>
      <c r="L1119" t="s">
        <v>154</v>
      </c>
      <c r="M1119" t="s">
        <v>6</v>
      </c>
    </row>
    <row r="1120" spans="1:13" x14ac:dyDescent="0.25">
      <c r="A1120" s="3" t="s">
        <v>155</v>
      </c>
      <c r="B1120" s="4">
        <v>46</v>
      </c>
      <c r="C1120" s="4"/>
      <c r="D1120" s="4" t="s">
        <v>154</v>
      </c>
      <c r="E1120" s="4" t="s">
        <v>6</v>
      </c>
      <c r="F1120">
        <f>COUNTIFS($D$2:D1120,D1120)</f>
        <v>50</v>
      </c>
      <c r="G1120" t="str">
        <f t="shared" si="17"/>
        <v>3871J</v>
      </c>
      <c r="H1120">
        <v>5.4576041000000002</v>
      </c>
      <c r="I1120">
        <v>52.1718957</v>
      </c>
      <c r="J1120" t="s">
        <v>485</v>
      </c>
      <c r="K1120" t="s">
        <v>277</v>
      </c>
      <c r="L1120" t="s">
        <v>154</v>
      </c>
      <c r="M1120" t="s">
        <v>6</v>
      </c>
    </row>
    <row r="1121" spans="1:13" x14ac:dyDescent="0.25">
      <c r="A1121" s="3" t="s">
        <v>155</v>
      </c>
      <c r="B1121" s="4">
        <v>48</v>
      </c>
      <c r="C1121" s="4"/>
      <c r="D1121" s="4" t="s">
        <v>154</v>
      </c>
      <c r="E1121" s="4" t="s">
        <v>6</v>
      </c>
      <c r="F1121">
        <f>COUNTIFS($D$2:D1121,D1121)</f>
        <v>51</v>
      </c>
      <c r="G1121" t="str">
        <f t="shared" si="17"/>
        <v>3871J</v>
      </c>
      <c r="H1121">
        <v>5.4576038999999996</v>
      </c>
      <c r="I1121">
        <v>52.171751899999997</v>
      </c>
      <c r="J1121" t="s">
        <v>485</v>
      </c>
      <c r="K1121" t="s">
        <v>278</v>
      </c>
      <c r="L1121" t="s">
        <v>154</v>
      </c>
      <c r="M1121" t="s">
        <v>6</v>
      </c>
    </row>
    <row r="1122" spans="1:13" x14ac:dyDescent="0.25">
      <c r="A1122" s="3" t="s">
        <v>156</v>
      </c>
      <c r="B1122" s="4">
        <v>52</v>
      </c>
      <c r="C1122" s="4"/>
      <c r="D1122" s="4" t="s">
        <v>154</v>
      </c>
      <c r="E1122" s="4" t="s">
        <v>6</v>
      </c>
      <c r="F1122">
        <f>COUNTIFS($D$2:D1122,D1122)</f>
        <v>52</v>
      </c>
      <c r="G1122" t="str">
        <f t="shared" si="17"/>
        <v>3871J</v>
      </c>
      <c r="H1122">
        <v>5.4576469000000003</v>
      </c>
      <c r="I1122">
        <v>52.171221600000003</v>
      </c>
      <c r="J1122" t="s">
        <v>494</v>
      </c>
      <c r="K1122" t="s">
        <v>281</v>
      </c>
      <c r="L1122" t="s">
        <v>154</v>
      </c>
      <c r="M1122" t="s">
        <v>6</v>
      </c>
    </row>
    <row r="1123" spans="1:13" x14ac:dyDescent="0.25">
      <c r="A1123" s="3" t="s">
        <v>156</v>
      </c>
      <c r="B1123" s="4">
        <v>54</v>
      </c>
      <c r="C1123" s="4"/>
      <c r="D1123" s="4" t="s">
        <v>154</v>
      </c>
      <c r="E1123" s="4" t="s">
        <v>6</v>
      </c>
      <c r="F1123">
        <f>COUNTIFS($D$2:D1123,D1123)</f>
        <v>53</v>
      </c>
      <c r="G1123" t="str">
        <f t="shared" si="17"/>
        <v>3871J</v>
      </c>
      <c r="H1123">
        <v>5.4576758999999999</v>
      </c>
      <c r="I1123">
        <v>52.171059800000002</v>
      </c>
      <c r="J1123" t="s">
        <v>494</v>
      </c>
      <c r="K1123" t="s">
        <v>282</v>
      </c>
      <c r="L1123" t="s">
        <v>154</v>
      </c>
      <c r="M1123" t="s">
        <v>6</v>
      </c>
    </row>
    <row r="1124" spans="1:13" x14ac:dyDescent="0.25">
      <c r="A1124" s="3" t="s">
        <v>156</v>
      </c>
      <c r="B1124" s="4">
        <v>56</v>
      </c>
      <c r="C1124" s="4"/>
      <c r="D1124" s="4" t="s">
        <v>154</v>
      </c>
      <c r="E1124" s="4" t="s">
        <v>6</v>
      </c>
      <c r="F1124">
        <f>COUNTIFS($D$2:D1124,D1124)</f>
        <v>54</v>
      </c>
      <c r="G1124" t="str">
        <f t="shared" si="17"/>
        <v>3871J</v>
      </c>
      <c r="H1124">
        <v>5.4576757999999996</v>
      </c>
      <c r="I1124">
        <v>52.170996899999999</v>
      </c>
      <c r="J1124" t="s">
        <v>494</v>
      </c>
      <c r="K1124" t="s">
        <v>283</v>
      </c>
      <c r="L1124" t="s">
        <v>154</v>
      </c>
      <c r="M1124" t="s">
        <v>6</v>
      </c>
    </row>
    <row r="1125" spans="1:13" x14ac:dyDescent="0.25">
      <c r="A1125" s="3" t="s">
        <v>156</v>
      </c>
      <c r="B1125" s="4">
        <v>58</v>
      </c>
      <c r="C1125" s="4" t="s">
        <v>8</v>
      </c>
      <c r="D1125" s="4" t="s">
        <v>154</v>
      </c>
      <c r="E1125" s="4" t="s">
        <v>6</v>
      </c>
      <c r="F1125">
        <f>COUNTIFS($D$2:D1125,D1125)</f>
        <v>55</v>
      </c>
      <c r="G1125" t="str">
        <f t="shared" si="17"/>
        <v>3871J</v>
      </c>
      <c r="H1125">
        <v>5.4577483999999998</v>
      </c>
      <c r="I1125">
        <v>52.170664299999999</v>
      </c>
      <c r="J1125" t="s">
        <v>494</v>
      </c>
      <c r="K1125" t="s">
        <v>495</v>
      </c>
      <c r="L1125" t="s">
        <v>154</v>
      </c>
      <c r="M1125" t="s">
        <v>6</v>
      </c>
    </row>
    <row r="1126" spans="1:13" x14ac:dyDescent="0.25">
      <c r="A1126" s="3" t="s">
        <v>156</v>
      </c>
      <c r="B1126" s="4">
        <v>58</v>
      </c>
      <c r="C1126" s="4"/>
      <c r="D1126" s="4" t="s">
        <v>154</v>
      </c>
      <c r="E1126" s="4" t="s">
        <v>6</v>
      </c>
      <c r="F1126">
        <f>COUNTIFS($D$2:D1126,D1126)</f>
        <v>56</v>
      </c>
      <c r="G1126" t="str">
        <f t="shared" si="17"/>
        <v>3871J</v>
      </c>
      <c r="H1126">
        <v>5.4577046999999999</v>
      </c>
      <c r="I1126">
        <v>52.170790099999998</v>
      </c>
      <c r="J1126" t="s">
        <v>494</v>
      </c>
      <c r="K1126" t="s">
        <v>284</v>
      </c>
      <c r="L1126" t="s">
        <v>154</v>
      </c>
      <c r="M1126" t="s">
        <v>6</v>
      </c>
    </row>
    <row r="1127" spans="1:13" x14ac:dyDescent="0.25">
      <c r="A1127" s="3" t="s">
        <v>156</v>
      </c>
      <c r="B1127" s="4">
        <v>60</v>
      </c>
      <c r="C1127" s="4" t="s">
        <v>12</v>
      </c>
      <c r="D1127" s="4" t="s">
        <v>154</v>
      </c>
      <c r="E1127" s="4" t="s">
        <v>6</v>
      </c>
      <c r="F1127">
        <f>COUNTIFS($D$2:D1127,D1127)</f>
        <v>57</v>
      </c>
      <c r="G1127" t="str">
        <f t="shared" si="17"/>
        <v>3871J</v>
      </c>
      <c r="H1127">
        <v>5.4577624</v>
      </c>
      <c r="I1127">
        <v>52.1702868</v>
      </c>
      <c r="J1127" t="s">
        <v>494</v>
      </c>
      <c r="K1127" t="s">
        <v>496</v>
      </c>
      <c r="L1127" t="s">
        <v>154</v>
      </c>
      <c r="M1127" t="s">
        <v>6</v>
      </c>
    </row>
    <row r="1128" spans="1:13" x14ac:dyDescent="0.25">
      <c r="A1128" s="3" t="s">
        <v>156</v>
      </c>
      <c r="B1128" s="4">
        <v>60</v>
      </c>
      <c r="C1128" s="4" t="s">
        <v>13</v>
      </c>
      <c r="D1128" s="4" t="s">
        <v>154</v>
      </c>
      <c r="E1128" s="4" t="s">
        <v>6</v>
      </c>
      <c r="F1128">
        <f>COUNTIFS($D$2:D1128,D1128)</f>
        <v>58</v>
      </c>
      <c r="G1128" t="str">
        <f t="shared" si="17"/>
        <v>3871J</v>
      </c>
      <c r="H1128">
        <v>5.4577622000000003</v>
      </c>
      <c r="I1128">
        <v>52.170169899999998</v>
      </c>
      <c r="J1128" t="s">
        <v>494</v>
      </c>
      <c r="K1128" t="s">
        <v>497</v>
      </c>
      <c r="L1128" t="s">
        <v>154</v>
      </c>
      <c r="M1128" t="s">
        <v>6</v>
      </c>
    </row>
    <row r="1129" spans="1:13" x14ac:dyDescent="0.25">
      <c r="A1129" s="3" t="s">
        <v>156</v>
      </c>
      <c r="B1129" s="4">
        <v>60</v>
      </c>
      <c r="C1129" s="4" t="s">
        <v>14</v>
      </c>
      <c r="D1129" s="4" t="s">
        <v>154</v>
      </c>
      <c r="E1129" s="4" t="s">
        <v>6</v>
      </c>
      <c r="F1129">
        <f>COUNTIFS($D$2:D1129,D1129)</f>
        <v>59</v>
      </c>
      <c r="G1129" t="str">
        <f t="shared" si="17"/>
        <v>3871J</v>
      </c>
      <c r="H1129">
        <v>5.4577475</v>
      </c>
      <c r="I1129">
        <v>52.170088999999997</v>
      </c>
      <c r="J1129" t="s">
        <v>494</v>
      </c>
      <c r="K1129" t="s">
        <v>498</v>
      </c>
      <c r="L1129" t="s">
        <v>154</v>
      </c>
      <c r="M1129" t="s">
        <v>6</v>
      </c>
    </row>
    <row r="1130" spans="1:13" x14ac:dyDescent="0.25">
      <c r="A1130" s="3" t="s">
        <v>156</v>
      </c>
      <c r="B1130" s="4">
        <v>60</v>
      </c>
      <c r="C1130" s="4"/>
      <c r="D1130" s="4" t="s">
        <v>154</v>
      </c>
      <c r="E1130" s="4" t="s">
        <v>6</v>
      </c>
      <c r="F1130">
        <f>COUNTIFS($D$2:D1130,D1130)</f>
        <v>60</v>
      </c>
      <c r="G1130" t="str">
        <f t="shared" si="17"/>
        <v>3871J</v>
      </c>
      <c r="H1130">
        <v>5.4577334000000004</v>
      </c>
      <c r="I1130">
        <v>52.170466500000003</v>
      </c>
      <c r="J1130" t="s">
        <v>494</v>
      </c>
      <c r="K1130" t="s">
        <v>285</v>
      </c>
      <c r="L1130" t="s">
        <v>154</v>
      </c>
      <c r="M1130" t="s">
        <v>6</v>
      </c>
    </row>
    <row r="1131" spans="1:13" x14ac:dyDescent="0.25">
      <c r="A1131" s="3" t="s">
        <v>156</v>
      </c>
      <c r="B1131" s="4">
        <v>62</v>
      </c>
      <c r="C1131" s="4"/>
      <c r="D1131" s="4" t="s">
        <v>154</v>
      </c>
      <c r="E1131" s="4" t="s">
        <v>6</v>
      </c>
      <c r="F1131">
        <f>COUNTIFS($D$2:D1131,D1131)</f>
        <v>61</v>
      </c>
      <c r="G1131" t="str">
        <f t="shared" si="17"/>
        <v>3871J</v>
      </c>
      <c r="H1131">
        <v>5.4578179000000002</v>
      </c>
      <c r="I1131">
        <v>52.169786799999997</v>
      </c>
      <c r="J1131" t="s">
        <v>494</v>
      </c>
      <c r="K1131" t="s">
        <v>286</v>
      </c>
      <c r="L1131" t="s">
        <v>154</v>
      </c>
      <c r="M1131" t="s">
        <v>6</v>
      </c>
    </row>
    <row r="1132" spans="1:13" x14ac:dyDescent="0.25">
      <c r="A1132" s="3" t="s">
        <v>157</v>
      </c>
      <c r="B1132" s="4">
        <v>1</v>
      </c>
      <c r="C1132" s="4"/>
      <c r="D1132" s="4" t="s">
        <v>158</v>
      </c>
      <c r="E1132" s="4" t="s">
        <v>6</v>
      </c>
      <c r="F1132">
        <f>COUNTIFS($D$2:D1132,D1132)</f>
        <v>1</v>
      </c>
      <c r="G1132" t="str">
        <f t="shared" si="17"/>
        <v>3871J</v>
      </c>
      <c r="H1132">
        <v>5.4582739</v>
      </c>
      <c r="I1132">
        <v>52.170586299999997</v>
      </c>
      <c r="J1132" t="s">
        <v>499</v>
      </c>
      <c r="K1132" t="s">
        <v>355</v>
      </c>
      <c r="L1132" t="s">
        <v>158</v>
      </c>
      <c r="M1132" t="s">
        <v>6</v>
      </c>
    </row>
    <row r="1133" spans="1:13" x14ac:dyDescent="0.25">
      <c r="A1133" s="3" t="s">
        <v>157</v>
      </c>
      <c r="B1133" s="4">
        <v>3</v>
      </c>
      <c r="C1133" s="4"/>
      <c r="D1133" s="4" t="s">
        <v>158</v>
      </c>
      <c r="E1133" s="4" t="s">
        <v>6</v>
      </c>
      <c r="F1133">
        <f>COUNTIFS($D$2:D1133,D1133)</f>
        <v>2</v>
      </c>
      <c r="G1133" t="str">
        <f t="shared" si="17"/>
        <v>3871J</v>
      </c>
      <c r="H1133">
        <v>5.4583735999999998</v>
      </c>
      <c r="I1133">
        <v>52.170571700000004</v>
      </c>
      <c r="J1133" t="s">
        <v>499</v>
      </c>
      <c r="K1133" t="s">
        <v>356</v>
      </c>
      <c r="L1133" t="s">
        <v>158</v>
      </c>
      <c r="M1133" t="s">
        <v>6</v>
      </c>
    </row>
    <row r="1134" spans="1:13" x14ac:dyDescent="0.25">
      <c r="A1134" s="3" t="s">
        <v>157</v>
      </c>
      <c r="B1134" s="4">
        <v>5</v>
      </c>
      <c r="C1134" s="4"/>
      <c r="D1134" s="4" t="s">
        <v>158</v>
      </c>
      <c r="E1134" s="4" t="s">
        <v>6</v>
      </c>
      <c r="F1134">
        <f>COUNTIFS($D$2:D1134,D1134)</f>
        <v>3</v>
      </c>
      <c r="G1134" t="str">
        <f t="shared" si="17"/>
        <v>3871J</v>
      </c>
      <c r="H1134">
        <v>5.4584650000000003</v>
      </c>
      <c r="I1134">
        <v>52.170559500000003</v>
      </c>
      <c r="J1134" t="s">
        <v>499</v>
      </c>
      <c r="K1134" t="s">
        <v>357</v>
      </c>
      <c r="L1134" t="s">
        <v>158</v>
      </c>
      <c r="M1134" t="s">
        <v>6</v>
      </c>
    </row>
    <row r="1135" spans="1:13" x14ac:dyDescent="0.25">
      <c r="A1135" s="3" t="s">
        <v>157</v>
      </c>
      <c r="B1135" s="4">
        <v>7</v>
      </c>
      <c r="C1135" s="4"/>
      <c r="D1135" s="4" t="s">
        <v>158</v>
      </c>
      <c r="E1135" s="4" t="s">
        <v>6</v>
      </c>
      <c r="F1135">
        <f>COUNTIFS($D$2:D1135,D1135)</f>
        <v>4</v>
      </c>
      <c r="G1135" t="str">
        <f t="shared" si="17"/>
        <v>3871J</v>
      </c>
      <c r="H1135">
        <v>5.4585474999999999</v>
      </c>
      <c r="I1135">
        <v>52.170546399999999</v>
      </c>
      <c r="J1135" t="s">
        <v>499</v>
      </c>
      <c r="K1135" t="s">
        <v>358</v>
      </c>
      <c r="L1135" t="s">
        <v>158</v>
      </c>
      <c r="M1135" t="s">
        <v>6</v>
      </c>
    </row>
    <row r="1136" spans="1:13" x14ac:dyDescent="0.25">
      <c r="A1136" s="3" t="s">
        <v>157</v>
      </c>
      <c r="B1136" s="4">
        <v>9</v>
      </c>
      <c r="C1136" s="4"/>
      <c r="D1136" s="4" t="s">
        <v>158</v>
      </c>
      <c r="E1136" s="4" t="s">
        <v>6</v>
      </c>
      <c r="F1136">
        <f>COUNTIFS($D$2:D1136,D1136)</f>
        <v>5</v>
      </c>
      <c r="G1136" t="str">
        <f t="shared" si="17"/>
        <v>3871J</v>
      </c>
      <c r="H1136">
        <v>5.4587569</v>
      </c>
      <c r="I1136">
        <v>52.170591700000003</v>
      </c>
      <c r="J1136" t="s">
        <v>499</v>
      </c>
      <c r="K1136" t="s">
        <v>382</v>
      </c>
      <c r="L1136" t="s">
        <v>158</v>
      </c>
      <c r="M1136" t="s">
        <v>6</v>
      </c>
    </row>
    <row r="1137" spans="1:13" x14ac:dyDescent="0.25">
      <c r="A1137" s="3" t="s">
        <v>157</v>
      </c>
      <c r="B1137" s="4">
        <v>11</v>
      </c>
      <c r="C1137" s="4"/>
      <c r="D1137" s="4" t="s">
        <v>158</v>
      </c>
      <c r="E1137" s="4" t="s">
        <v>6</v>
      </c>
      <c r="F1137">
        <f>COUNTIFS($D$2:D1137,D1137)</f>
        <v>6</v>
      </c>
      <c r="G1137" t="str">
        <f t="shared" si="17"/>
        <v>3871J</v>
      </c>
      <c r="H1137">
        <v>5.4588445999999999</v>
      </c>
      <c r="I1137">
        <v>52.170591700000003</v>
      </c>
      <c r="J1137" t="s">
        <v>499</v>
      </c>
      <c r="K1137" t="s">
        <v>391</v>
      </c>
      <c r="L1137" t="s">
        <v>158</v>
      </c>
      <c r="M1137" t="s">
        <v>6</v>
      </c>
    </row>
    <row r="1138" spans="1:13" x14ac:dyDescent="0.25">
      <c r="A1138" s="3" t="s">
        <v>157</v>
      </c>
      <c r="B1138" s="4">
        <v>13</v>
      </c>
      <c r="C1138" s="4"/>
      <c r="D1138" s="4" t="s">
        <v>158</v>
      </c>
      <c r="E1138" s="4" t="s">
        <v>6</v>
      </c>
      <c r="F1138">
        <f>COUNTIFS($D$2:D1138,D1138)</f>
        <v>7</v>
      </c>
      <c r="G1138" t="str">
        <f t="shared" si="17"/>
        <v>3871J</v>
      </c>
      <c r="H1138">
        <v>5.4589322999999998</v>
      </c>
      <c r="I1138">
        <v>52.1706006</v>
      </c>
      <c r="J1138" t="s">
        <v>499</v>
      </c>
      <c r="K1138" t="s">
        <v>359</v>
      </c>
      <c r="L1138" t="s">
        <v>158</v>
      </c>
      <c r="M1138" t="s">
        <v>6</v>
      </c>
    </row>
    <row r="1139" spans="1:13" x14ac:dyDescent="0.25">
      <c r="A1139" s="3" t="s">
        <v>157</v>
      </c>
      <c r="B1139" s="4">
        <v>15</v>
      </c>
      <c r="C1139" s="4"/>
      <c r="D1139" s="4" t="s">
        <v>158</v>
      </c>
      <c r="E1139" s="4" t="s">
        <v>6</v>
      </c>
      <c r="F1139">
        <f>COUNTIFS($D$2:D1139,D1139)</f>
        <v>8</v>
      </c>
      <c r="G1139" t="str">
        <f t="shared" si="17"/>
        <v>3871J</v>
      </c>
      <c r="H1139">
        <v>5.4590345999999998</v>
      </c>
      <c r="I1139">
        <v>52.170609499999998</v>
      </c>
      <c r="J1139" t="s">
        <v>499</v>
      </c>
      <c r="K1139" t="s">
        <v>383</v>
      </c>
      <c r="L1139" t="s">
        <v>158</v>
      </c>
      <c r="M1139" t="s">
        <v>6</v>
      </c>
    </row>
    <row r="1140" spans="1:13" x14ac:dyDescent="0.25">
      <c r="A1140" s="3" t="s">
        <v>157</v>
      </c>
      <c r="B1140" s="4">
        <v>17</v>
      </c>
      <c r="C1140" s="4"/>
      <c r="D1140" s="4" t="s">
        <v>158</v>
      </c>
      <c r="E1140" s="4" t="s">
        <v>6</v>
      </c>
      <c r="F1140">
        <f>COUNTIFS($D$2:D1140,D1140)</f>
        <v>9</v>
      </c>
      <c r="G1140" t="str">
        <f t="shared" si="17"/>
        <v>3871J</v>
      </c>
      <c r="H1140">
        <v>5.4598526999999999</v>
      </c>
      <c r="I1140">
        <v>52.170267500000001</v>
      </c>
      <c r="J1140" t="s">
        <v>499</v>
      </c>
      <c r="K1140" t="s">
        <v>360</v>
      </c>
      <c r="L1140" t="s">
        <v>158</v>
      </c>
      <c r="M1140" t="s">
        <v>6</v>
      </c>
    </row>
    <row r="1141" spans="1:13" x14ac:dyDescent="0.25">
      <c r="A1141" s="3" t="s">
        <v>157</v>
      </c>
      <c r="B1141" s="4">
        <v>19</v>
      </c>
      <c r="C1141" s="4"/>
      <c r="D1141" s="4" t="s">
        <v>158</v>
      </c>
      <c r="E1141" s="4" t="s">
        <v>6</v>
      </c>
      <c r="F1141">
        <f>COUNTIFS($D$2:D1141,D1141)</f>
        <v>10</v>
      </c>
      <c r="G1141" t="str">
        <f t="shared" si="17"/>
        <v>3871J</v>
      </c>
      <c r="H1141">
        <v>5.4598528000000002</v>
      </c>
      <c r="I1141">
        <v>52.170321399999999</v>
      </c>
      <c r="J1141" t="s">
        <v>499</v>
      </c>
      <c r="K1141" t="s">
        <v>361</v>
      </c>
      <c r="L1141" t="s">
        <v>158</v>
      </c>
      <c r="M1141" t="s">
        <v>6</v>
      </c>
    </row>
    <row r="1142" spans="1:13" x14ac:dyDescent="0.25">
      <c r="A1142" s="3" t="s">
        <v>157</v>
      </c>
      <c r="B1142" s="4">
        <v>21</v>
      </c>
      <c r="C1142" s="4"/>
      <c r="D1142" s="4" t="s">
        <v>158</v>
      </c>
      <c r="E1142" s="4" t="s">
        <v>6</v>
      </c>
      <c r="F1142">
        <f>COUNTIFS($D$2:D1142,D1142)</f>
        <v>11</v>
      </c>
      <c r="G1142" t="str">
        <f t="shared" si="17"/>
        <v>3871J</v>
      </c>
      <c r="H1142">
        <v>5.4598528000000002</v>
      </c>
      <c r="I1142">
        <v>52.170375399999998</v>
      </c>
      <c r="J1142" t="s">
        <v>499</v>
      </c>
      <c r="K1142" t="s">
        <v>362</v>
      </c>
      <c r="L1142" t="s">
        <v>158</v>
      </c>
      <c r="M1142" t="s">
        <v>6</v>
      </c>
    </row>
    <row r="1143" spans="1:13" x14ac:dyDescent="0.25">
      <c r="A1143" s="3" t="s">
        <v>157</v>
      </c>
      <c r="B1143" s="4">
        <v>23</v>
      </c>
      <c r="C1143" s="4"/>
      <c r="D1143" s="4" t="s">
        <v>158</v>
      </c>
      <c r="E1143" s="4" t="s">
        <v>6</v>
      </c>
      <c r="F1143">
        <f>COUNTIFS($D$2:D1143,D1143)</f>
        <v>12</v>
      </c>
      <c r="G1143" t="str">
        <f t="shared" si="17"/>
        <v>3871J</v>
      </c>
      <c r="H1143">
        <v>5.4598383000000004</v>
      </c>
      <c r="I1143">
        <v>52.170438300000001</v>
      </c>
      <c r="J1143" t="s">
        <v>499</v>
      </c>
      <c r="K1143" t="s">
        <v>384</v>
      </c>
      <c r="L1143" t="s">
        <v>158</v>
      </c>
      <c r="M1143" t="s">
        <v>6</v>
      </c>
    </row>
    <row r="1144" spans="1:13" x14ac:dyDescent="0.25">
      <c r="A1144" s="3" t="s">
        <v>157</v>
      </c>
      <c r="B1144" s="4">
        <v>25</v>
      </c>
      <c r="C1144" s="4"/>
      <c r="D1144" s="4" t="s">
        <v>158</v>
      </c>
      <c r="E1144" s="4" t="s">
        <v>6</v>
      </c>
      <c r="F1144">
        <f>COUNTIFS($D$2:D1144,D1144)</f>
        <v>13</v>
      </c>
      <c r="G1144" t="str">
        <f t="shared" si="17"/>
        <v>3871J</v>
      </c>
      <c r="H1144">
        <v>5.4594437999999998</v>
      </c>
      <c r="I1144">
        <v>52.170546399999999</v>
      </c>
      <c r="J1144" t="s">
        <v>499</v>
      </c>
      <c r="K1144" t="s">
        <v>385</v>
      </c>
      <c r="L1144" t="s">
        <v>158</v>
      </c>
      <c r="M1144" t="s">
        <v>6</v>
      </c>
    </row>
    <row r="1145" spans="1:13" x14ac:dyDescent="0.25">
      <c r="A1145" s="3" t="s">
        <v>157</v>
      </c>
      <c r="B1145" s="4">
        <v>27</v>
      </c>
      <c r="C1145" s="4"/>
      <c r="D1145" s="4" t="s">
        <v>158</v>
      </c>
      <c r="E1145" s="4" t="s">
        <v>6</v>
      </c>
      <c r="F1145">
        <f>COUNTIFS($D$2:D1145,D1145)</f>
        <v>14</v>
      </c>
      <c r="G1145" t="str">
        <f t="shared" si="17"/>
        <v>3871J</v>
      </c>
      <c r="H1145">
        <v>5.4594293</v>
      </c>
      <c r="I1145">
        <v>52.170609300000002</v>
      </c>
      <c r="J1145" t="s">
        <v>499</v>
      </c>
      <c r="K1145" t="s">
        <v>393</v>
      </c>
      <c r="L1145" t="s">
        <v>158</v>
      </c>
      <c r="M1145" t="s">
        <v>6</v>
      </c>
    </row>
    <row r="1146" spans="1:13" x14ac:dyDescent="0.25">
      <c r="A1146" s="3" t="s">
        <v>157</v>
      </c>
      <c r="B1146" s="4">
        <v>29</v>
      </c>
      <c r="C1146" s="4"/>
      <c r="D1146" s="4" t="s">
        <v>158</v>
      </c>
      <c r="E1146" s="4" t="s">
        <v>6</v>
      </c>
      <c r="F1146">
        <f>COUNTIFS($D$2:D1146,D1146)</f>
        <v>15</v>
      </c>
      <c r="G1146" t="str">
        <f t="shared" si="17"/>
        <v>3871J</v>
      </c>
      <c r="H1146">
        <v>5.4594294000000003</v>
      </c>
      <c r="I1146">
        <v>52.1706632</v>
      </c>
      <c r="J1146" t="s">
        <v>499</v>
      </c>
      <c r="K1146" t="s">
        <v>364</v>
      </c>
      <c r="L1146" t="s">
        <v>158</v>
      </c>
      <c r="M1146" t="s">
        <v>6</v>
      </c>
    </row>
    <row r="1147" spans="1:13" x14ac:dyDescent="0.25">
      <c r="A1147" s="3" t="s">
        <v>157</v>
      </c>
      <c r="B1147" s="4">
        <v>31</v>
      </c>
      <c r="C1147" s="4"/>
      <c r="D1147" s="4" t="s">
        <v>158</v>
      </c>
      <c r="E1147" s="4" t="s">
        <v>6</v>
      </c>
      <c r="F1147">
        <f>COUNTIFS($D$2:D1147,D1147)</f>
        <v>16</v>
      </c>
      <c r="G1147" t="str">
        <f t="shared" si="17"/>
        <v>3871J</v>
      </c>
      <c r="H1147">
        <v>5.4594294999999997</v>
      </c>
      <c r="I1147">
        <v>52.170717199999999</v>
      </c>
      <c r="J1147" t="s">
        <v>499</v>
      </c>
      <c r="K1147" t="s">
        <v>323</v>
      </c>
      <c r="L1147" t="s">
        <v>158</v>
      </c>
      <c r="M1147" t="s">
        <v>6</v>
      </c>
    </row>
    <row r="1148" spans="1:13" x14ac:dyDescent="0.25">
      <c r="A1148" s="3" t="s">
        <v>157</v>
      </c>
      <c r="B1148" s="4">
        <v>33</v>
      </c>
      <c r="C1148" s="4"/>
      <c r="D1148" s="4" t="s">
        <v>158</v>
      </c>
      <c r="E1148" s="4" t="s">
        <v>6</v>
      </c>
      <c r="F1148">
        <f>COUNTIFS($D$2:D1148,D1148)</f>
        <v>17</v>
      </c>
      <c r="G1148" t="str">
        <f t="shared" si="17"/>
        <v>3871J</v>
      </c>
      <c r="H1148">
        <v>5.4601312999999996</v>
      </c>
      <c r="I1148">
        <v>52.170788600000002</v>
      </c>
      <c r="J1148" t="s">
        <v>499</v>
      </c>
      <c r="K1148" t="s">
        <v>365</v>
      </c>
      <c r="L1148" t="s">
        <v>158</v>
      </c>
      <c r="M1148" t="s">
        <v>6</v>
      </c>
    </row>
    <row r="1149" spans="1:13" x14ac:dyDescent="0.25">
      <c r="A1149" s="3" t="s">
        <v>157</v>
      </c>
      <c r="B1149" s="4">
        <v>35</v>
      </c>
      <c r="C1149" s="4"/>
      <c r="D1149" s="4" t="s">
        <v>158</v>
      </c>
      <c r="E1149" s="4" t="s">
        <v>6</v>
      </c>
      <c r="F1149">
        <f>COUNTIFS($D$2:D1149,D1149)</f>
        <v>18</v>
      </c>
      <c r="G1149" t="str">
        <f t="shared" si="17"/>
        <v>3871J</v>
      </c>
      <c r="H1149">
        <v>5.4601458000000003</v>
      </c>
      <c r="I1149">
        <v>52.170734699999997</v>
      </c>
      <c r="J1149" t="s">
        <v>499</v>
      </c>
      <c r="K1149" t="s">
        <v>366</v>
      </c>
      <c r="L1149" t="s">
        <v>158</v>
      </c>
      <c r="M1149" t="s">
        <v>6</v>
      </c>
    </row>
    <row r="1150" spans="1:13" x14ac:dyDescent="0.25">
      <c r="A1150" s="3" t="s">
        <v>157</v>
      </c>
      <c r="B1150" s="4">
        <v>37</v>
      </c>
      <c r="C1150" s="4"/>
      <c r="D1150" s="4" t="s">
        <v>158</v>
      </c>
      <c r="E1150" s="4" t="s">
        <v>6</v>
      </c>
      <c r="F1150">
        <f>COUNTIFS($D$2:D1150,D1150)</f>
        <v>19</v>
      </c>
      <c r="G1150" t="str">
        <f t="shared" si="17"/>
        <v>3871J</v>
      </c>
      <c r="H1150">
        <v>5.4601603000000001</v>
      </c>
      <c r="I1150">
        <v>52.1706808</v>
      </c>
      <c r="J1150" t="s">
        <v>499</v>
      </c>
      <c r="K1150" t="s">
        <v>367</v>
      </c>
      <c r="L1150" t="s">
        <v>158</v>
      </c>
      <c r="M1150" t="s">
        <v>6</v>
      </c>
    </row>
    <row r="1151" spans="1:13" x14ac:dyDescent="0.25">
      <c r="A1151" s="3" t="s">
        <v>157</v>
      </c>
      <c r="B1151" s="4">
        <v>39</v>
      </c>
      <c r="C1151" s="4"/>
      <c r="D1151" s="4" t="s">
        <v>158</v>
      </c>
      <c r="E1151" s="4" t="s">
        <v>6</v>
      </c>
      <c r="F1151">
        <f>COUNTIFS($D$2:D1151,D1151)</f>
        <v>20</v>
      </c>
      <c r="G1151" t="str">
        <f t="shared" si="17"/>
        <v>3871J</v>
      </c>
      <c r="H1151">
        <v>5.4601601999999998</v>
      </c>
      <c r="I1151">
        <v>52.170626800000001</v>
      </c>
      <c r="J1151" t="s">
        <v>499</v>
      </c>
      <c r="K1151" t="s">
        <v>368</v>
      </c>
      <c r="L1151" t="s">
        <v>158</v>
      </c>
      <c r="M1151" t="s">
        <v>6</v>
      </c>
    </row>
    <row r="1152" spans="1:13" x14ac:dyDescent="0.25">
      <c r="A1152" s="3" t="s">
        <v>159</v>
      </c>
      <c r="B1152" s="4">
        <v>41</v>
      </c>
      <c r="C1152" s="4"/>
      <c r="D1152" s="4" t="s">
        <v>158</v>
      </c>
      <c r="E1152" s="4" t="s">
        <v>6</v>
      </c>
      <c r="F1152">
        <f>COUNTIFS($D$2:D1152,D1152)</f>
        <v>21</v>
      </c>
      <c r="G1152" t="str">
        <f t="shared" si="17"/>
        <v>3871J</v>
      </c>
      <c r="H1152">
        <v>5.4602180999999996</v>
      </c>
      <c r="I1152">
        <v>52.170285300000003</v>
      </c>
      <c r="J1152" t="s">
        <v>500</v>
      </c>
      <c r="K1152" t="s">
        <v>325</v>
      </c>
      <c r="L1152" t="s">
        <v>158</v>
      </c>
      <c r="M1152" t="s">
        <v>6</v>
      </c>
    </row>
    <row r="1153" spans="1:13" x14ac:dyDescent="0.25">
      <c r="A1153" s="3" t="s">
        <v>159</v>
      </c>
      <c r="B1153" s="4">
        <v>43</v>
      </c>
      <c r="C1153" s="4"/>
      <c r="D1153" s="4" t="s">
        <v>158</v>
      </c>
      <c r="E1153" s="4" t="s">
        <v>6</v>
      </c>
      <c r="F1153">
        <f>COUNTIFS($D$2:D1153,D1153)</f>
        <v>22</v>
      </c>
      <c r="G1153" t="str">
        <f t="shared" si="17"/>
        <v>3871J</v>
      </c>
      <c r="H1153">
        <v>5.4602181999999999</v>
      </c>
      <c r="I1153">
        <v>52.170339200000001</v>
      </c>
      <c r="J1153" t="s">
        <v>500</v>
      </c>
      <c r="K1153" t="s">
        <v>326</v>
      </c>
      <c r="L1153" t="s">
        <v>158</v>
      </c>
      <c r="M1153" t="s">
        <v>6</v>
      </c>
    </row>
    <row r="1154" spans="1:13" x14ac:dyDescent="0.25">
      <c r="A1154" s="3" t="s">
        <v>159</v>
      </c>
      <c r="B1154" s="4">
        <v>45</v>
      </c>
      <c r="C1154" s="4"/>
      <c r="D1154" s="4" t="s">
        <v>158</v>
      </c>
      <c r="E1154" s="4" t="s">
        <v>6</v>
      </c>
      <c r="F1154">
        <f>COUNTIFS($D$2:D1154,D1154)</f>
        <v>23</v>
      </c>
      <c r="G1154" t="str">
        <f t="shared" ref="G1154:G1217" si="18">LEFT(A1154,5)</f>
        <v>3871J</v>
      </c>
      <c r="H1154">
        <v>5.4602183000000002</v>
      </c>
      <c r="I1154">
        <v>52.170393099999998</v>
      </c>
      <c r="J1154" t="s">
        <v>500</v>
      </c>
      <c r="K1154" t="s">
        <v>327</v>
      </c>
      <c r="L1154" t="s">
        <v>158</v>
      </c>
      <c r="M1154" t="s">
        <v>6</v>
      </c>
    </row>
    <row r="1155" spans="1:13" x14ac:dyDescent="0.25">
      <c r="A1155" s="3" t="s">
        <v>159</v>
      </c>
      <c r="B1155" s="4">
        <v>47</v>
      </c>
      <c r="C1155" s="4"/>
      <c r="D1155" s="4" t="s">
        <v>158</v>
      </c>
      <c r="E1155" s="4" t="s">
        <v>6</v>
      </c>
      <c r="F1155">
        <f>COUNTIFS($D$2:D1155,D1155)</f>
        <v>24</v>
      </c>
      <c r="G1155" t="str">
        <f t="shared" si="18"/>
        <v>3871J</v>
      </c>
      <c r="H1155">
        <v>5.4602183999999996</v>
      </c>
      <c r="I1155">
        <v>52.170456000000001</v>
      </c>
      <c r="J1155" t="s">
        <v>500</v>
      </c>
      <c r="K1155" t="s">
        <v>328</v>
      </c>
      <c r="L1155" t="s">
        <v>158</v>
      </c>
      <c r="M1155" t="s">
        <v>6</v>
      </c>
    </row>
    <row r="1156" spans="1:13" x14ac:dyDescent="0.25">
      <c r="A1156" s="3" t="s">
        <v>159</v>
      </c>
      <c r="B1156" s="4">
        <v>49</v>
      </c>
      <c r="C1156" s="4"/>
      <c r="D1156" s="4" t="s">
        <v>158</v>
      </c>
      <c r="E1156" s="4" t="s">
        <v>6</v>
      </c>
      <c r="F1156">
        <f>COUNTIFS($D$2:D1156,D1156)</f>
        <v>25</v>
      </c>
      <c r="G1156" t="str">
        <f t="shared" si="18"/>
        <v>3871J</v>
      </c>
      <c r="H1156">
        <v>5.4602038999999998</v>
      </c>
      <c r="I1156">
        <v>52.170501000000002</v>
      </c>
      <c r="J1156" t="s">
        <v>500</v>
      </c>
      <c r="K1156" t="s">
        <v>329</v>
      </c>
      <c r="L1156" t="s">
        <v>158</v>
      </c>
      <c r="M1156" t="s">
        <v>6</v>
      </c>
    </row>
    <row r="1157" spans="1:13" x14ac:dyDescent="0.25">
      <c r="A1157" s="3" t="s">
        <v>159</v>
      </c>
      <c r="B1157" s="4">
        <v>51</v>
      </c>
      <c r="C1157" s="4"/>
      <c r="D1157" s="4" t="s">
        <v>158</v>
      </c>
      <c r="E1157" s="4" t="s">
        <v>6</v>
      </c>
      <c r="F1157">
        <f>COUNTIFS($D$2:D1157,D1157)</f>
        <v>26</v>
      </c>
      <c r="G1157" t="str">
        <f t="shared" si="18"/>
        <v>3871J</v>
      </c>
      <c r="H1157">
        <v>5.4602040000000001</v>
      </c>
      <c r="I1157">
        <v>52.170563899999998</v>
      </c>
      <c r="J1157" t="s">
        <v>500</v>
      </c>
      <c r="K1157" t="s">
        <v>331</v>
      </c>
      <c r="L1157" t="s">
        <v>158</v>
      </c>
      <c r="M1157" t="s">
        <v>6</v>
      </c>
    </row>
    <row r="1158" spans="1:13" x14ac:dyDescent="0.25">
      <c r="A1158" s="3" t="s">
        <v>159</v>
      </c>
      <c r="B1158" s="4">
        <v>53</v>
      </c>
      <c r="C1158" s="4"/>
      <c r="D1158" s="4" t="s">
        <v>158</v>
      </c>
      <c r="E1158" s="4" t="s">
        <v>6</v>
      </c>
      <c r="F1158">
        <f>COUNTIFS($D$2:D1158,D1158)</f>
        <v>27</v>
      </c>
      <c r="G1158" t="str">
        <f t="shared" si="18"/>
        <v>3871J</v>
      </c>
      <c r="H1158">
        <v>5.4610659999999998</v>
      </c>
      <c r="I1158">
        <v>52.170311699999999</v>
      </c>
      <c r="J1158" t="s">
        <v>500</v>
      </c>
      <c r="K1158" t="s">
        <v>332</v>
      </c>
      <c r="L1158" t="s">
        <v>158</v>
      </c>
      <c r="M1158" t="s">
        <v>6</v>
      </c>
    </row>
    <row r="1159" spans="1:13" x14ac:dyDescent="0.25">
      <c r="A1159" s="3" t="s">
        <v>159</v>
      </c>
      <c r="B1159" s="4">
        <v>55</v>
      </c>
      <c r="C1159" s="4"/>
      <c r="D1159" s="4" t="s">
        <v>158</v>
      </c>
      <c r="E1159" s="4" t="s">
        <v>6</v>
      </c>
      <c r="F1159">
        <f>COUNTIFS($D$2:D1159,D1159)</f>
        <v>28</v>
      </c>
      <c r="G1159" t="str">
        <f t="shared" si="18"/>
        <v>3871J</v>
      </c>
      <c r="H1159">
        <v>5.4610661</v>
      </c>
      <c r="I1159">
        <v>52.170383600000001</v>
      </c>
      <c r="J1159" t="s">
        <v>500</v>
      </c>
      <c r="K1159" t="s">
        <v>333</v>
      </c>
      <c r="L1159" t="s">
        <v>158</v>
      </c>
      <c r="M1159" t="s">
        <v>6</v>
      </c>
    </row>
    <row r="1160" spans="1:13" x14ac:dyDescent="0.25">
      <c r="A1160" s="3" t="s">
        <v>159</v>
      </c>
      <c r="B1160" s="4">
        <v>57</v>
      </c>
      <c r="C1160" s="4"/>
      <c r="D1160" s="4" t="s">
        <v>158</v>
      </c>
      <c r="E1160" s="4" t="s">
        <v>6</v>
      </c>
      <c r="F1160">
        <f>COUNTIFS($D$2:D1160,D1160)</f>
        <v>29</v>
      </c>
      <c r="G1160" t="str">
        <f t="shared" si="18"/>
        <v>3871J</v>
      </c>
      <c r="H1160">
        <v>5.4610516000000002</v>
      </c>
      <c r="I1160">
        <v>52.1704285</v>
      </c>
      <c r="J1160" t="s">
        <v>500</v>
      </c>
      <c r="K1160" t="s">
        <v>334</v>
      </c>
      <c r="L1160" t="s">
        <v>158</v>
      </c>
      <c r="M1160" t="s">
        <v>6</v>
      </c>
    </row>
    <row r="1161" spans="1:13" x14ac:dyDescent="0.25">
      <c r="A1161" s="3" t="s">
        <v>159</v>
      </c>
      <c r="B1161" s="4">
        <v>59</v>
      </c>
      <c r="C1161" s="4"/>
      <c r="D1161" s="4" t="s">
        <v>158</v>
      </c>
      <c r="E1161" s="4" t="s">
        <v>6</v>
      </c>
      <c r="F1161">
        <f>COUNTIFS($D$2:D1161,D1161)</f>
        <v>30</v>
      </c>
      <c r="G1161" t="str">
        <f t="shared" si="18"/>
        <v>3871J</v>
      </c>
      <c r="H1161">
        <v>5.4610371000000004</v>
      </c>
      <c r="I1161">
        <v>52.170491499999997</v>
      </c>
      <c r="J1161" t="s">
        <v>500</v>
      </c>
      <c r="K1161" t="s">
        <v>335</v>
      </c>
      <c r="L1161" t="s">
        <v>158</v>
      </c>
      <c r="M1161" t="s">
        <v>6</v>
      </c>
    </row>
    <row r="1162" spans="1:13" x14ac:dyDescent="0.25">
      <c r="A1162" s="3" t="s">
        <v>159</v>
      </c>
      <c r="B1162" s="4">
        <v>61</v>
      </c>
      <c r="C1162" s="4"/>
      <c r="D1162" s="4" t="s">
        <v>158</v>
      </c>
      <c r="E1162" s="4" t="s">
        <v>6</v>
      </c>
      <c r="F1162">
        <f>COUNTIFS($D$2:D1162,D1162)</f>
        <v>31</v>
      </c>
      <c r="G1162" t="str">
        <f t="shared" si="18"/>
        <v>3871J</v>
      </c>
      <c r="H1162">
        <v>5.4610371999999998</v>
      </c>
      <c r="I1162">
        <v>52.170545400000002</v>
      </c>
      <c r="J1162" t="s">
        <v>500</v>
      </c>
      <c r="K1162" t="s">
        <v>336</v>
      </c>
      <c r="L1162" t="s">
        <v>158</v>
      </c>
      <c r="M1162" t="s">
        <v>6</v>
      </c>
    </row>
    <row r="1163" spans="1:13" x14ac:dyDescent="0.25">
      <c r="A1163" s="3" t="s">
        <v>159</v>
      </c>
      <c r="B1163" s="4">
        <v>63</v>
      </c>
      <c r="C1163" s="4"/>
      <c r="D1163" s="4" t="s">
        <v>158</v>
      </c>
      <c r="E1163" s="4" t="s">
        <v>6</v>
      </c>
      <c r="F1163">
        <f>COUNTIFS($D$2:D1163,D1163)</f>
        <v>32</v>
      </c>
      <c r="G1163" t="str">
        <f t="shared" si="18"/>
        <v>3871J</v>
      </c>
      <c r="H1163">
        <v>5.4610225999999997</v>
      </c>
      <c r="I1163">
        <v>52.170608299999998</v>
      </c>
      <c r="J1163" t="s">
        <v>500</v>
      </c>
      <c r="K1163" t="s">
        <v>339</v>
      </c>
      <c r="L1163" t="s">
        <v>158</v>
      </c>
      <c r="M1163" t="s">
        <v>6</v>
      </c>
    </row>
    <row r="1164" spans="1:13" x14ac:dyDescent="0.25">
      <c r="A1164" s="3" t="s">
        <v>159</v>
      </c>
      <c r="B1164" s="4">
        <v>65</v>
      </c>
      <c r="C1164" s="4"/>
      <c r="D1164" s="4" t="s">
        <v>158</v>
      </c>
      <c r="E1164" s="4" t="s">
        <v>6</v>
      </c>
      <c r="F1164">
        <f>COUNTIFS($D$2:D1164,D1164)</f>
        <v>33</v>
      </c>
      <c r="G1164" t="str">
        <f t="shared" si="18"/>
        <v>3871J</v>
      </c>
      <c r="H1164">
        <v>5.4606865000000004</v>
      </c>
      <c r="I1164">
        <v>52.170635500000003</v>
      </c>
      <c r="J1164" t="s">
        <v>500</v>
      </c>
      <c r="K1164" t="s">
        <v>428</v>
      </c>
      <c r="L1164" t="s">
        <v>158</v>
      </c>
      <c r="M1164" t="s">
        <v>6</v>
      </c>
    </row>
    <row r="1165" spans="1:13" x14ac:dyDescent="0.25">
      <c r="A1165" s="3" t="s">
        <v>159</v>
      </c>
      <c r="B1165" s="4">
        <v>67</v>
      </c>
      <c r="C1165" s="4"/>
      <c r="D1165" s="4" t="s">
        <v>158</v>
      </c>
      <c r="E1165" s="4" t="s">
        <v>6</v>
      </c>
      <c r="F1165">
        <f>COUNTIFS($D$2:D1165,D1165)</f>
        <v>34</v>
      </c>
      <c r="G1165" t="str">
        <f t="shared" si="18"/>
        <v>3871J</v>
      </c>
      <c r="H1165">
        <v>5.4606719999999997</v>
      </c>
      <c r="I1165">
        <v>52.170698399999999</v>
      </c>
      <c r="J1165" t="s">
        <v>500</v>
      </c>
      <c r="K1165" t="s">
        <v>448</v>
      </c>
      <c r="L1165" t="s">
        <v>158</v>
      </c>
      <c r="M1165" t="s">
        <v>6</v>
      </c>
    </row>
    <row r="1166" spans="1:13" x14ac:dyDescent="0.25">
      <c r="A1166" s="3" t="s">
        <v>159</v>
      </c>
      <c r="B1166" s="4">
        <v>69</v>
      </c>
      <c r="C1166" s="4"/>
      <c r="D1166" s="4" t="s">
        <v>158</v>
      </c>
      <c r="E1166" s="4" t="s">
        <v>6</v>
      </c>
      <c r="F1166">
        <f>COUNTIFS($D$2:D1166,D1166)</f>
        <v>35</v>
      </c>
      <c r="G1166" t="str">
        <f t="shared" si="18"/>
        <v>3871J</v>
      </c>
      <c r="H1166">
        <v>5.4606573999999997</v>
      </c>
      <c r="I1166">
        <v>52.170752399999998</v>
      </c>
      <c r="J1166" t="s">
        <v>500</v>
      </c>
      <c r="K1166" t="s">
        <v>449</v>
      </c>
      <c r="L1166" t="s">
        <v>158</v>
      </c>
      <c r="M1166" t="s">
        <v>6</v>
      </c>
    </row>
    <row r="1167" spans="1:13" x14ac:dyDescent="0.25">
      <c r="A1167" s="3" t="s">
        <v>159</v>
      </c>
      <c r="B1167" s="4">
        <v>71</v>
      </c>
      <c r="C1167" s="4"/>
      <c r="D1167" s="4" t="s">
        <v>158</v>
      </c>
      <c r="E1167" s="4" t="s">
        <v>6</v>
      </c>
      <c r="F1167">
        <f>COUNTIFS($D$2:D1167,D1167)</f>
        <v>36</v>
      </c>
      <c r="G1167" t="str">
        <f t="shared" si="18"/>
        <v>3871J</v>
      </c>
      <c r="H1167">
        <v>5.4606574999999999</v>
      </c>
      <c r="I1167">
        <v>52.170815300000001</v>
      </c>
      <c r="J1167" t="s">
        <v>500</v>
      </c>
      <c r="K1167" t="s">
        <v>340</v>
      </c>
      <c r="L1167" t="s">
        <v>158</v>
      </c>
      <c r="M1167" t="s">
        <v>6</v>
      </c>
    </row>
    <row r="1168" spans="1:13" x14ac:dyDescent="0.25">
      <c r="A1168" s="3" t="s">
        <v>159</v>
      </c>
      <c r="B1168" s="4">
        <v>73</v>
      </c>
      <c r="C1168" s="4"/>
      <c r="D1168" s="4" t="s">
        <v>158</v>
      </c>
      <c r="E1168" s="4" t="s">
        <v>6</v>
      </c>
      <c r="F1168">
        <f>COUNTIFS($D$2:D1168,D1168)</f>
        <v>37</v>
      </c>
      <c r="G1168" t="str">
        <f t="shared" si="18"/>
        <v>3871J</v>
      </c>
      <c r="H1168">
        <v>5.4613446000000003</v>
      </c>
      <c r="I1168">
        <v>52.170841799999998</v>
      </c>
      <c r="J1168" t="s">
        <v>500</v>
      </c>
      <c r="K1168" t="s">
        <v>341</v>
      </c>
      <c r="L1168" t="s">
        <v>158</v>
      </c>
      <c r="M1168" t="s">
        <v>6</v>
      </c>
    </row>
    <row r="1169" spans="1:13" x14ac:dyDescent="0.25">
      <c r="A1169" s="3" t="s">
        <v>159</v>
      </c>
      <c r="B1169" s="4">
        <v>75</v>
      </c>
      <c r="C1169" s="4"/>
      <c r="D1169" s="4" t="s">
        <v>158</v>
      </c>
      <c r="E1169" s="4" t="s">
        <v>6</v>
      </c>
      <c r="F1169">
        <f>COUNTIFS($D$2:D1169,D1169)</f>
        <v>38</v>
      </c>
      <c r="G1169" t="str">
        <f t="shared" si="18"/>
        <v>3871J</v>
      </c>
      <c r="H1169">
        <v>5.4613445</v>
      </c>
      <c r="I1169">
        <v>52.170787900000001</v>
      </c>
      <c r="J1169" t="s">
        <v>500</v>
      </c>
      <c r="K1169" t="s">
        <v>450</v>
      </c>
      <c r="L1169" t="s">
        <v>158</v>
      </c>
      <c r="M1169" t="s">
        <v>6</v>
      </c>
    </row>
    <row r="1170" spans="1:13" x14ac:dyDescent="0.25">
      <c r="A1170" s="3" t="s">
        <v>159</v>
      </c>
      <c r="B1170" s="4">
        <v>77</v>
      </c>
      <c r="C1170" s="4"/>
      <c r="D1170" s="4" t="s">
        <v>158</v>
      </c>
      <c r="E1170" s="4" t="s">
        <v>6</v>
      </c>
      <c r="F1170">
        <f>COUNTIFS($D$2:D1170,D1170)</f>
        <v>39</v>
      </c>
      <c r="G1170" t="str">
        <f t="shared" si="18"/>
        <v>3871J</v>
      </c>
      <c r="H1170">
        <v>5.4613589999999999</v>
      </c>
      <c r="I1170">
        <v>52.170724999999997</v>
      </c>
      <c r="J1170" t="s">
        <v>500</v>
      </c>
      <c r="K1170" t="s">
        <v>342</v>
      </c>
      <c r="L1170" t="s">
        <v>158</v>
      </c>
      <c r="M1170" t="s">
        <v>6</v>
      </c>
    </row>
    <row r="1171" spans="1:13" x14ac:dyDescent="0.25">
      <c r="A1171" s="3" t="s">
        <v>159</v>
      </c>
      <c r="B1171" s="4">
        <v>79</v>
      </c>
      <c r="C1171" s="4"/>
      <c r="D1171" s="4" t="s">
        <v>158</v>
      </c>
      <c r="E1171" s="4" t="s">
        <v>6</v>
      </c>
      <c r="F1171">
        <f>COUNTIFS($D$2:D1171,D1171)</f>
        <v>40</v>
      </c>
      <c r="G1171" t="str">
        <f t="shared" si="18"/>
        <v>3871J</v>
      </c>
      <c r="H1171">
        <v>5.4613589999999999</v>
      </c>
      <c r="I1171">
        <v>52.170679999999997</v>
      </c>
      <c r="J1171" t="s">
        <v>500</v>
      </c>
      <c r="K1171" t="s">
        <v>343</v>
      </c>
      <c r="L1171" t="s">
        <v>158</v>
      </c>
      <c r="M1171" t="s">
        <v>6</v>
      </c>
    </row>
    <row r="1172" spans="1:13" x14ac:dyDescent="0.25">
      <c r="A1172" s="3" t="s">
        <v>160</v>
      </c>
      <c r="B1172" s="4">
        <v>4</v>
      </c>
      <c r="C1172" s="4"/>
      <c r="D1172" s="4" t="s">
        <v>158</v>
      </c>
      <c r="E1172" s="4" t="s">
        <v>6</v>
      </c>
      <c r="F1172">
        <f>COUNTIFS($D$2:D1172,D1172)</f>
        <v>41</v>
      </c>
      <c r="G1172" t="str">
        <f t="shared" si="18"/>
        <v>3871J</v>
      </c>
      <c r="H1172">
        <v>5.4591944000000003</v>
      </c>
      <c r="I1172">
        <v>52.169953300000003</v>
      </c>
      <c r="J1172" t="s">
        <v>501</v>
      </c>
      <c r="K1172" t="s">
        <v>260</v>
      </c>
      <c r="L1172" t="s">
        <v>158</v>
      </c>
      <c r="M1172" t="s">
        <v>6</v>
      </c>
    </row>
    <row r="1173" spans="1:13" x14ac:dyDescent="0.25">
      <c r="A1173" s="3" t="s">
        <v>160</v>
      </c>
      <c r="B1173" s="4">
        <v>6</v>
      </c>
      <c r="C1173" s="4"/>
      <c r="D1173" s="4" t="s">
        <v>158</v>
      </c>
      <c r="E1173" s="4" t="s">
        <v>6</v>
      </c>
      <c r="F1173">
        <f>COUNTIFS($D$2:D1173,D1173)</f>
        <v>42</v>
      </c>
      <c r="G1173" t="str">
        <f t="shared" si="18"/>
        <v>3871J</v>
      </c>
      <c r="H1173">
        <v>5.4593990000000003</v>
      </c>
      <c r="I1173">
        <v>52.169962200000001</v>
      </c>
      <c r="J1173" t="s">
        <v>501</v>
      </c>
      <c r="K1173" t="s">
        <v>262</v>
      </c>
      <c r="L1173" t="s">
        <v>158</v>
      </c>
      <c r="M1173" t="s">
        <v>6</v>
      </c>
    </row>
    <row r="1174" spans="1:13" x14ac:dyDescent="0.25">
      <c r="A1174" s="3" t="s">
        <v>160</v>
      </c>
      <c r="B1174" s="4">
        <v>8</v>
      </c>
      <c r="C1174" s="4"/>
      <c r="D1174" s="4" t="s">
        <v>158</v>
      </c>
      <c r="E1174" s="4" t="s">
        <v>6</v>
      </c>
      <c r="F1174">
        <f>COUNTIFS($D$2:D1174,D1174)</f>
        <v>43</v>
      </c>
      <c r="G1174" t="str">
        <f t="shared" si="18"/>
        <v>3871J</v>
      </c>
      <c r="H1174">
        <v>5.4594867999999996</v>
      </c>
      <c r="I1174">
        <v>52.169971099999998</v>
      </c>
      <c r="J1174" t="s">
        <v>501</v>
      </c>
      <c r="K1174" t="s">
        <v>263</v>
      </c>
      <c r="L1174" t="s">
        <v>158</v>
      </c>
      <c r="M1174" t="s">
        <v>6</v>
      </c>
    </row>
    <row r="1175" spans="1:13" x14ac:dyDescent="0.25">
      <c r="A1175" s="3" t="s">
        <v>160</v>
      </c>
      <c r="B1175" s="4">
        <v>10</v>
      </c>
      <c r="C1175" s="4"/>
      <c r="D1175" s="4" t="s">
        <v>158</v>
      </c>
      <c r="E1175" s="4" t="s">
        <v>6</v>
      </c>
      <c r="F1175">
        <f>COUNTIFS($D$2:D1175,D1175)</f>
        <v>44</v>
      </c>
      <c r="G1175" t="str">
        <f t="shared" si="18"/>
        <v>3871J</v>
      </c>
      <c r="H1175">
        <v>5.4596768000000004</v>
      </c>
      <c r="I1175">
        <v>52.169970999999997</v>
      </c>
      <c r="J1175" t="s">
        <v>501</v>
      </c>
      <c r="K1175" t="s">
        <v>264</v>
      </c>
      <c r="L1175" t="s">
        <v>158</v>
      </c>
      <c r="M1175" t="s">
        <v>6</v>
      </c>
    </row>
    <row r="1176" spans="1:13" x14ac:dyDescent="0.25">
      <c r="A1176" s="3" t="s">
        <v>160</v>
      </c>
      <c r="B1176" s="4">
        <v>12</v>
      </c>
      <c r="C1176" s="4"/>
      <c r="D1176" s="4" t="s">
        <v>158</v>
      </c>
      <c r="E1176" s="4" t="s">
        <v>6</v>
      </c>
      <c r="F1176">
        <f>COUNTIFS($D$2:D1176,D1176)</f>
        <v>45</v>
      </c>
      <c r="G1176" t="str">
        <f t="shared" si="18"/>
        <v>3871J</v>
      </c>
      <c r="H1176">
        <v>5.4597645000000004</v>
      </c>
      <c r="I1176">
        <v>52.169970999999997</v>
      </c>
      <c r="J1176" t="s">
        <v>501</v>
      </c>
      <c r="K1176" t="s">
        <v>265</v>
      </c>
      <c r="L1176" t="s">
        <v>158</v>
      </c>
      <c r="M1176" t="s">
        <v>6</v>
      </c>
    </row>
    <row r="1177" spans="1:13" x14ac:dyDescent="0.25">
      <c r="A1177" s="3" t="s">
        <v>160</v>
      </c>
      <c r="B1177" s="4">
        <v>14</v>
      </c>
      <c r="C1177" s="4"/>
      <c r="D1177" s="4" t="s">
        <v>158</v>
      </c>
      <c r="E1177" s="4" t="s">
        <v>6</v>
      </c>
      <c r="F1177">
        <f>COUNTIFS($D$2:D1177,D1177)</f>
        <v>46</v>
      </c>
      <c r="G1177" t="str">
        <f t="shared" si="18"/>
        <v>3871J</v>
      </c>
      <c r="H1177">
        <v>5.4601153</v>
      </c>
      <c r="I1177">
        <v>52.169997700000003</v>
      </c>
      <c r="J1177" t="s">
        <v>501</v>
      </c>
      <c r="K1177" t="s">
        <v>266</v>
      </c>
      <c r="L1177" t="s">
        <v>158</v>
      </c>
      <c r="M1177" t="s">
        <v>6</v>
      </c>
    </row>
    <row r="1178" spans="1:13" x14ac:dyDescent="0.25">
      <c r="A1178" s="3" t="s">
        <v>160</v>
      </c>
      <c r="B1178" s="4">
        <v>16</v>
      </c>
      <c r="C1178" s="4"/>
      <c r="D1178" s="4" t="s">
        <v>158</v>
      </c>
      <c r="E1178" s="4" t="s">
        <v>6</v>
      </c>
      <c r="F1178">
        <f>COUNTIFS($D$2:D1178,D1178)</f>
        <v>47</v>
      </c>
      <c r="G1178" t="str">
        <f t="shared" si="18"/>
        <v>3871J</v>
      </c>
      <c r="H1178">
        <v>5.4602177000000003</v>
      </c>
      <c r="I1178">
        <v>52.169997600000002</v>
      </c>
      <c r="J1178" t="s">
        <v>501</v>
      </c>
      <c r="K1178" t="s">
        <v>371</v>
      </c>
      <c r="L1178" t="s">
        <v>158</v>
      </c>
      <c r="M1178" t="s">
        <v>6</v>
      </c>
    </row>
    <row r="1179" spans="1:13" x14ac:dyDescent="0.25">
      <c r="A1179" s="3" t="s">
        <v>160</v>
      </c>
      <c r="B1179" s="4">
        <v>18</v>
      </c>
      <c r="C1179" s="4"/>
      <c r="D1179" s="4" t="s">
        <v>158</v>
      </c>
      <c r="E1179" s="4" t="s">
        <v>6</v>
      </c>
      <c r="F1179">
        <f>COUNTIFS($D$2:D1179,D1179)</f>
        <v>48</v>
      </c>
      <c r="G1179" t="str">
        <f t="shared" si="18"/>
        <v>3871J</v>
      </c>
      <c r="H1179">
        <v>5.4604223000000003</v>
      </c>
      <c r="I1179">
        <v>52.1700065</v>
      </c>
      <c r="J1179" t="s">
        <v>501</v>
      </c>
      <c r="K1179" t="s">
        <v>267</v>
      </c>
      <c r="L1179" t="s">
        <v>158</v>
      </c>
      <c r="M1179" t="s">
        <v>6</v>
      </c>
    </row>
    <row r="1180" spans="1:13" x14ac:dyDescent="0.25">
      <c r="A1180" s="3" t="s">
        <v>160</v>
      </c>
      <c r="B1180" s="4">
        <v>20</v>
      </c>
      <c r="C1180" s="4"/>
      <c r="D1180" s="4" t="s">
        <v>158</v>
      </c>
      <c r="E1180" s="4" t="s">
        <v>6</v>
      </c>
      <c r="F1180">
        <f>COUNTIFS($D$2:D1180,D1180)</f>
        <v>49</v>
      </c>
      <c r="G1180" t="str">
        <f t="shared" si="18"/>
        <v>3871J</v>
      </c>
      <c r="H1180">
        <v>5.4605246999999997</v>
      </c>
      <c r="I1180">
        <v>52.170015399999997</v>
      </c>
      <c r="J1180" t="s">
        <v>501</v>
      </c>
      <c r="K1180" t="s">
        <v>372</v>
      </c>
      <c r="L1180" t="s">
        <v>158</v>
      </c>
      <c r="M1180" t="s">
        <v>6</v>
      </c>
    </row>
    <row r="1181" spans="1:13" x14ac:dyDescent="0.25">
      <c r="A1181" s="3" t="s">
        <v>160</v>
      </c>
      <c r="B1181" s="4">
        <v>22</v>
      </c>
      <c r="C1181" s="4"/>
      <c r="D1181" s="4" t="s">
        <v>158</v>
      </c>
      <c r="E1181" s="4" t="s">
        <v>6</v>
      </c>
      <c r="F1181">
        <f>COUNTIFS($D$2:D1181,D1181)</f>
        <v>50</v>
      </c>
      <c r="G1181" t="str">
        <f t="shared" si="18"/>
        <v>3871J</v>
      </c>
      <c r="H1181">
        <v>5.4607292999999997</v>
      </c>
      <c r="I1181">
        <v>52.170024300000001</v>
      </c>
      <c r="J1181" t="s">
        <v>501</v>
      </c>
      <c r="K1181" t="s">
        <v>269</v>
      </c>
      <c r="L1181" t="s">
        <v>158</v>
      </c>
      <c r="M1181" t="s">
        <v>6</v>
      </c>
    </row>
    <row r="1182" spans="1:13" x14ac:dyDescent="0.25">
      <c r="A1182" s="3" t="s">
        <v>160</v>
      </c>
      <c r="B1182" s="4">
        <v>24</v>
      </c>
      <c r="C1182" s="4"/>
      <c r="D1182" s="4" t="s">
        <v>158</v>
      </c>
      <c r="E1182" s="4" t="s">
        <v>6</v>
      </c>
      <c r="F1182">
        <f>COUNTIFS($D$2:D1182,D1182)</f>
        <v>51</v>
      </c>
      <c r="G1182" t="str">
        <f t="shared" si="18"/>
        <v>3871J</v>
      </c>
      <c r="H1182">
        <v>5.4611093999999998</v>
      </c>
      <c r="I1182">
        <v>52.170051000000001</v>
      </c>
      <c r="J1182" t="s">
        <v>501</v>
      </c>
      <c r="K1182" t="s">
        <v>270</v>
      </c>
      <c r="L1182" t="s">
        <v>158</v>
      </c>
      <c r="M1182" t="s">
        <v>6</v>
      </c>
    </row>
    <row r="1183" spans="1:13" x14ac:dyDescent="0.25">
      <c r="A1183" s="3" t="s">
        <v>160</v>
      </c>
      <c r="B1183" s="4">
        <v>26</v>
      </c>
      <c r="C1183" s="4"/>
      <c r="D1183" s="4" t="s">
        <v>158</v>
      </c>
      <c r="E1183" s="4" t="s">
        <v>6</v>
      </c>
      <c r="F1183">
        <f>COUNTIFS($D$2:D1183,D1183)</f>
        <v>52</v>
      </c>
      <c r="G1183" t="str">
        <f t="shared" si="18"/>
        <v>3871J</v>
      </c>
      <c r="H1183">
        <v>5.4613287000000001</v>
      </c>
      <c r="I1183">
        <v>52.170059899999998</v>
      </c>
      <c r="J1183" t="s">
        <v>501</v>
      </c>
      <c r="K1183" t="s">
        <v>271</v>
      </c>
      <c r="L1183" t="s">
        <v>158</v>
      </c>
      <c r="M1183" t="s">
        <v>6</v>
      </c>
    </row>
    <row r="1184" spans="1:13" x14ac:dyDescent="0.25">
      <c r="A1184" s="3" t="s">
        <v>160</v>
      </c>
      <c r="B1184" s="4">
        <v>28</v>
      </c>
      <c r="C1184" s="4"/>
      <c r="D1184" s="4" t="s">
        <v>158</v>
      </c>
      <c r="E1184" s="4" t="s">
        <v>6</v>
      </c>
      <c r="F1184">
        <f>COUNTIFS($D$2:D1184,D1184)</f>
        <v>53</v>
      </c>
      <c r="G1184" t="str">
        <f t="shared" si="18"/>
        <v>3871J</v>
      </c>
      <c r="H1184">
        <v>5.4616211000000003</v>
      </c>
      <c r="I1184">
        <v>52.1700777</v>
      </c>
      <c r="J1184" t="s">
        <v>501</v>
      </c>
      <c r="K1184" t="s">
        <v>272</v>
      </c>
      <c r="L1184" t="s">
        <v>158</v>
      </c>
      <c r="M1184" t="s">
        <v>6</v>
      </c>
    </row>
    <row r="1185" spans="1:13" x14ac:dyDescent="0.25">
      <c r="A1185" s="3" t="s">
        <v>161</v>
      </c>
      <c r="B1185" s="4">
        <v>8</v>
      </c>
      <c r="C1185" s="4"/>
      <c r="D1185" s="4" t="s">
        <v>162</v>
      </c>
      <c r="E1185" s="4" t="s">
        <v>6</v>
      </c>
      <c r="F1185">
        <f>COUNTIFS($D$2:D1185,D1185)</f>
        <v>1</v>
      </c>
      <c r="G1185" t="str">
        <f t="shared" si="18"/>
        <v>3871J</v>
      </c>
      <c r="H1185">
        <v>5.4614319</v>
      </c>
      <c r="I1185">
        <v>52.170617</v>
      </c>
      <c r="J1185" t="s">
        <v>502</v>
      </c>
      <c r="K1185" t="s">
        <v>263</v>
      </c>
      <c r="L1185" t="s">
        <v>162</v>
      </c>
      <c r="M1185" t="s">
        <v>6</v>
      </c>
    </row>
    <row r="1186" spans="1:13" x14ac:dyDescent="0.25">
      <c r="A1186" s="3" t="s">
        <v>161</v>
      </c>
      <c r="B1186" s="4">
        <v>10</v>
      </c>
      <c r="C1186" s="4"/>
      <c r="D1186" s="4" t="s">
        <v>162</v>
      </c>
      <c r="E1186" s="4" t="s">
        <v>6</v>
      </c>
      <c r="F1186">
        <f>COUNTIFS($D$2:D1186,D1186)</f>
        <v>2</v>
      </c>
      <c r="G1186" t="str">
        <f t="shared" si="18"/>
        <v>3871J</v>
      </c>
      <c r="H1186">
        <v>5.4614319</v>
      </c>
      <c r="I1186">
        <v>52.170563100000003</v>
      </c>
      <c r="J1186" t="s">
        <v>502</v>
      </c>
      <c r="K1186" t="s">
        <v>264</v>
      </c>
      <c r="L1186" t="s">
        <v>162</v>
      </c>
      <c r="M1186" t="s">
        <v>6</v>
      </c>
    </row>
    <row r="1187" spans="1:13" x14ac:dyDescent="0.25">
      <c r="A1187" s="3" t="s">
        <v>161</v>
      </c>
      <c r="B1187" s="4">
        <v>12</v>
      </c>
      <c r="C1187" s="4"/>
      <c r="D1187" s="4" t="s">
        <v>162</v>
      </c>
      <c r="E1187" s="4" t="s">
        <v>6</v>
      </c>
      <c r="F1187">
        <f>COUNTIFS($D$2:D1187,D1187)</f>
        <v>3</v>
      </c>
      <c r="G1187" t="str">
        <f t="shared" si="18"/>
        <v>3871J</v>
      </c>
      <c r="H1187">
        <v>5.4614317999999997</v>
      </c>
      <c r="I1187">
        <v>52.170509199999998</v>
      </c>
      <c r="J1187" t="s">
        <v>502</v>
      </c>
      <c r="K1187" t="s">
        <v>265</v>
      </c>
      <c r="L1187" t="s">
        <v>162</v>
      </c>
      <c r="M1187" t="s">
        <v>6</v>
      </c>
    </row>
    <row r="1188" spans="1:13" x14ac:dyDescent="0.25">
      <c r="A1188" s="3" t="s">
        <v>161</v>
      </c>
      <c r="B1188" s="4">
        <v>14</v>
      </c>
      <c r="C1188" s="4"/>
      <c r="D1188" s="4" t="s">
        <v>162</v>
      </c>
      <c r="E1188" s="4" t="s">
        <v>6</v>
      </c>
      <c r="F1188">
        <f>COUNTIFS($D$2:D1188,D1188)</f>
        <v>4</v>
      </c>
      <c r="G1188" t="str">
        <f t="shared" si="18"/>
        <v>3871J</v>
      </c>
      <c r="H1188">
        <v>5.4614463000000004</v>
      </c>
      <c r="I1188">
        <v>52.1704553</v>
      </c>
      <c r="J1188" t="s">
        <v>502</v>
      </c>
      <c r="K1188" t="s">
        <v>266</v>
      </c>
      <c r="L1188" t="s">
        <v>162</v>
      </c>
      <c r="M1188" t="s">
        <v>6</v>
      </c>
    </row>
    <row r="1189" spans="1:13" x14ac:dyDescent="0.25">
      <c r="A1189" s="3" t="s">
        <v>161</v>
      </c>
      <c r="B1189" s="4">
        <v>16</v>
      </c>
      <c r="C1189" s="4"/>
      <c r="D1189" s="4" t="s">
        <v>162</v>
      </c>
      <c r="E1189" s="4" t="s">
        <v>6</v>
      </c>
      <c r="F1189">
        <f>COUNTIFS($D$2:D1189,D1189)</f>
        <v>5</v>
      </c>
      <c r="G1189" t="str">
        <f t="shared" si="18"/>
        <v>3871J</v>
      </c>
      <c r="H1189">
        <v>5.4614608000000002</v>
      </c>
      <c r="I1189">
        <v>52.170392300000003</v>
      </c>
      <c r="J1189" t="s">
        <v>502</v>
      </c>
      <c r="K1189" t="s">
        <v>371</v>
      </c>
      <c r="L1189" t="s">
        <v>162</v>
      </c>
      <c r="M1189" t="s">
        <v>6</v>
      </c>
    </row>
    <row r="1190" spans="1:13" x14ac:dyDescent="0.25">
      <c r="A1190" s="3" t="s">
        <v>161</v>
      </c>
      <c r="B1190" s="4">
        <v>17</v>
      </c>
      <c r="C1190" s="4"/>
      <c r="D1190" s="4" t="s">
        <v>162</v>
      </c>
      <c r="E1190" s="4" t="s">
        <v>6</v>
      </c>
      <c r="F1190">
        <f>COUNTIFS($D$2:D1190,D1190)</f>
        <v>6</v>
      </c>
      <c r="G1190" t="str">
        <f t="shared" si="18"/>
        <v>3871J</v>
      </c>
      <c r="H1190">
        <v>5.4621468999999996</v>
      </c>
      <c r="I1190">
        <v>52.169825699999997</v>
      </c>
      <c r="J1190" t="s">
        <v>502</v>
      </c>
      <c r="K1190" t="s">
        <v>360</v>
      </c>
      <c r="L1190" t="s">
        <v>162</v>
      </c>
      <c r="M1190" t="s">
        <v>6</v>
      </c>
    </row>
    <row r="1191" spans="1:13" x14ac:dyDescent="0.25">
      <c r="A1191" s="3" t="s">
        <v>161</v>
      </c>
      <c r="B1191" s="4">
        <v>18</v>
      </c>
      <c r="C1191" s="4"/>
      <c r="D1191" s="4" t="s">
        <v>162</v>
      </c>
      <c r="E1191" s="4" t="s">
        <v>6</v>
      </c>
      <c r="F1191">
        <f>COUNTIFS($D$2:D1191,D1191)</f>
        <v>7</v>
      </c>
      <c r="G1191" t="str">
        <f t="shared" si="18"/>
        <v>3871J</v>
      </c>
      <c r="H1191">
        <v>5.4614606999999999</v>
      </c>
      <c r="I1191">
        <v>52.170338399999999</v>
      </c>
      <c r="J1191" t="s">
        <v>502</v>
      </c>
      <c r="K1191" t="s">
        <v>267</v>
      </c>
      <c r="L1191" t="s">
        <v>162</v>
      </c>
      <c r="M1191" t="s">
        <v>6</v>
      </c>
    </row>
    <row r="1192" spans="1:13" x14ac:dyDescent="0.25">
      <c r="A1192" s="3" t="s">
        <v>161</v>
      </c>
      <c r="B1192" s="4">
        <v>20</v>
      </c>
      <c r="C1192" s="4"/>
      <c r="D1192" s="4" t="s">
        <v>162</v>
      </c>
      <c r="E1192" s="4" t="s">
        <v>6</v>
      </c>
      <c r="F1192">
        <f>COUNTIFS($D$2:D1192,D1192)</f>
        <v>8</v>
      </c>
      <c r="G1192" t="str">
        <f t="shared" si="18"/>
        <v>3871J</v>
      </c>
      <c r="H1192">
        <v>5.4615473999999997</v>
      </c>
      <c r="I1192">
        <v>52.1697451</v>
      </c>
      <c r="J1192" t="s">
        <v>502</v>
      </c>
      <c r="K1192" t="s">
        <v>372</v>
      </c>
      <c r="L1192" t="s">
        <v>162</v>
      </c>
      <c r="M1192" t="s">
        <v>6</v>
      </c>
    </row>
    <row r="1193" spans="1:13" x14ac:dyDescent="0.25">
      <c r="A1193" s="3" t="s">
        <v>161</v>
      </c>
      <c r="B1193" s="4">
        <v>22</v>
      </c>
      <c r="C1193" s="4"/>
      <c r="D1193" s="4" t="s">
        <v>162</v>
      </c>
      <c r="E1193" s="4" t="s">
        <v>6</v>
      </c>
      <c r="F1193">
        <f>COUNTIFS($D$2:D1193,D1193)</f>
        <v>9</v>
      </c>
      <c r="G1193" t="str">
        <f t="shared" si="18"/>
        <v>3871J</v>
      </c>
      <c r="H1193">
        <v>5.4615179999999999</v>
      </c>
      <c r="I1193">
        <v>52.169637299999998</v>
      </c>
      <c r="J1193" t="s">
        <v>502</v>
      </c>
      <c r="K1193" t="s">
        <v>269</v>
      </c>
      <c r="L1193" t="s">
        <v>162</v>
      </c>
      <c r="M1193" t="s">
        <v>6</v>
      </c>
    </row>
    <row r="1194" spans="1:13" x14ac:dyDescent="0.25">
      <c r="A1194" s="3" t="s">
        <v>161</v>
      </c>
      <c r="B1194" s="4">
        <v>24</v>
      </c>
      <c r="C1194" s="4"/>
      <c r="D1194" s="4" t="s">
        <v>162</v>
      </c>
      <c r="E1194" s="4" t="s">
        <v>6</v>
      </c>
      <c r="F1194">
        <f>COUNTIFS($D$2:D1194,D1194)</f>
        <v>10</v>
      </c>
      <c r="G1194" t="str">
        <f t="shared" si="18"/>
        <v>3871J</v>
      </c>
      <c r="H1194">
        <v>5.4613718000000002</v>
      </c>
      <c r="I1194">
        <v>52.169583500000002</v>
      </c>
      <c r="J1194" t="s">
        <v>502</v>
      </c>
      <c r="K1194" t="s">
        <v>270</v>
      </c>
      <c r="L1194" t="s">
        <v>162</v>
      </c>
      <c r="M1194" t="s">
        <v>6</v>
      </c>
    </row>
    <row r="1195" spans="1:13" x14ac:dyDescent="0.25">
      <c r="A1195" s="3" t="s">
        <v>161</v>
      </c>
      <c r="B1195" s="4">
        <v>26</v>
      </c>
      <c r="C1195" s="4"/>
      <c r="D1195" s="4" t="s">
        <v>162</v>
      </c>
      <c r="E1195" s="4" t="s">
        <v>6</v>
      </c>
      <c r="F1195">
        <f>COUNTIFS($D$2:D1195,D1195)</f>
        <v>11</v>
      </c>
      <c r="G1195" t="str">
        <f t="shared" si="18"/>
        <v>3871J</v>
      </c>
      <c r="H1195">
        <v>5.4611964000000004</v>
      </c>
      <c r="I1195">
        <v>52.169610599999999</v>
      </c>
      <c r="J1195" t="s">
        <v>502</v>
      </c>
      <c r="K1195" t="s">
        <v>271</v>
      </c>
      <c r="L1195" t="s">
        <v>162</v>
      </c>
      <c r="M1195" t="s">
        <v>6</v>
      </c>
    </row>
    <row r="1196" spans="1:13" x14ac:dyDescent="0.25">
      <c r="A1196" s="3" t="s">
        <v>161</v>
      </c>
      <c r="B1196" s="4">
        <v>28</v>
      </c>
      <c r="C1196" s="4"/>
      <c r="D1196" s="4" t="s">
        <v>162</v>
      </c>
      <c r="E1196" s="4" t="s">
        <v>6</v>
      </c>
      <c r="F1196">
        <f>COUNTIFS($D$2:D1196,D1196)</f>
        <v>12</v>
      </c>
      <c r="G1196" t="str">
        <f t="shared" si="18"/>
        <v>3871J</v>
      </c>
      <c r="H1196">
        <v>5.4611089000000002</v>
      </c>
      <c r="I1196">
        <v>52.169709500000003</v>
      </c>
      <c r="J1196" t="s">
        <v>502</v>
      </c>
      <c r="K1196" t="s">
        <v>272</v>
      </c>
      <c r="L1196" t="s">
        <v>162</v>
      </c>
      <c r="M1196" t="s">
        <v>6</v>
      </c>
    </row>
    <row r="1197" spans="1:13" x14ac:dyDescent="0.25">
      <c r="A1197" s="3" t="s">
        <v>163</v>
      </c>
      <c r="B1197" s="4">
        <v>1</v>
      </c>
      <c r="C1197" s="4"/>
      <c r="D1197" s="4" t="s">
        <v>164</v>
      </c>
      <c r="E1197" s="4" t="s">
        <v>6</v>
      </c>
      <c r="F1197">
        <f>COUNTIFS($D$2:D1197,D1197)</f>
        <v>1</v>
      </c>
      <c r="G1197" t="str">
        <f t="shared" si="18"/>
        <v>3871J</v>
      </c>
      <c r="H1197">
        <v>5.4619587999999997</v>
      </c>
      <c r="I1197">
        <v>52.171003200000001</v>
      </c>
      <c r="J1197" t="s">
        <v>503</v>
      </c>
      <c r="K1197" t="s">
        <v>355</v>
      </c>
      <c r="L1197" t="s">
        <v>164</v>
      </c>
      <c r="M1197" t="s">
        <v>6</v>
      </c>
    </row>
    <row r="1198" spans="1:13" x14ac:dyDescent="0.25">
      <c r="A1198" s="3" t="s">
        <v>163</v>
      </c>
      <c r="B1198" s="4">
        <v>3</v>
      </c>
      <c r="C1198" s="4"/>
      <c r="D1198" s="4" t="s">
        <v>164</v>
      </c>
      <c r="E1198" s="4" t="s">
        <v>6</v>
      </c>
      <c r="F1198">
        <f>COUNTIFS($D$2:D1198,D1198)</f>
        <v>2</v>
      </c>
      <c r="G1198" t="str">
        <f t="shared" si="18"/>
        <v>3871J</v>
      </c>
      <c r="H1198">
        <v>5.4620465999999999</v>
      </c>
      <c r="I1198">
        <v>52.171012099999999</v>
      </c>
      <c r="J1198" t="s">
        <v>503</v>
      </c>
      <c r="K1198" t="s">
        <v>356</v>
      </c>
      <c r="L1198" t="s">
        <v>164</v>
      </c>
      <c r="M1198" t="s">
        <v>6</v>
      </c>
    </row>
    <row r="1199" spans="1:13" x14ac:dyDescent="0.25">
      <c r="A1199" s="3" t="s">
        <v>163</v>
      </c>
      <c r="B1199" s="4">
        <v>5</v>
      </c>
      <c r="C1199" s="4"/>
      <c r="D1199" s="4" t="s">
        <v>164</v>
      </c>
      <c r="E1199" s="4" t="s">
        <v>6</v>
      </c>
      <c r="F1199">
        <f>COUNTIFS($D$2:D1199,D1199)</f>
        <v>3</v>
      </c>
      <c r="G1199" t="str">
        <f t="shared" si="18"/>
        <v>3871J</v>
      </c>
      <c r="H1199">
        <v>5.4621342999999998</v>
      </c>
      <c r="I1199">
        <v>52.171012099999999</v>
      </c>
      <c r="J1199" t="s">
        <v>503</v>
      </c>
      <c r="K1199" t="s">
        <v>357</v>
      </c>
      <c r="L1199" t="s">
        <v>164</v>
      </c>
      <c r="M1199" t="s">
        <v>6</v>
      </c>
    </row>
    <row r="1200" spans="1:13" x14ac:dyDescent="0.25">
      <c r="A1200" s="3" t="s">
        <v>163</v>
      </c>
      <c r="B1200" s="4">
        <v>7</v>
      </c>
      <c r="C1200" s="4"/>
      <c r="D1200" s="4" t="s">
        <v>164</v>
      </c>
      <c r="E1200" s="4" t="s">
        <v>6</v>
      </c>
      <c r="F1200">
        <f>COUNTIFS($D$2:D1200,D1200)</f>
        <v>4</v>
      </c>
      <c r="G1200" t="str">
        <f t="shared" si="18"/>
        <v>3871J</v>
      </c>
      <c r="H1200">
        <v>5.4622219999999997</v>
      </c>
      <c r="I1200">
        <v>52.171011999999997</v>
      </c>
      <c r="J1200" t="s">
        <v>503</v>
      </c>
      <c r="K1200" t="s">
        <v>358</v>
      </c>
      <c r="L1200" t="s">
        <v>164</v>
      </c>
      <c r="M1200" t="s">
        <v>6</v>
      </c>
    </row>
    <row r="1201" spans="1:13" x14ac:dyDescent="0.25">
      <c r="A1201" s="3" t="s">
        <v>163</v>
      </c>
      <c r="B1201" s="4">
        <v>9</v>
      </c>
      <c r="C1201" s="4"/>
      <c r="D1201" s="4" t="s">
        <v>164</v>
      </c>
      <c r="E1201" s="4" t="s">
        <v>6</v>
      </c>
      <c r="F1201">
        <f>COUNTIFS($D$2:D1201,D1201)</f>
        <v>5</v>
      </c>
      <c r="G1201" t="str">
        <f t="shared" si="18"/>
        <v>3871J</v>
      </c>
      <c r="H1201">
        <v>5.4623096999999996</v>
      </c>
      <c r="I1201">
        <v>52.171020900000002</v>
      </c>
      <c r="J1201" t="s">
        <v>503</v>
      </c>
      <c r="K1201" t="s">
        <v>382</v>
      </c>
      <c r="L1201" t="s">
        <v>164</v>
      </c>
      <c r="M1201" t="s">
        <v>6</v>
      </c>
    </row>
    <row r="1202" spans="1:13" x14ac:dyDescent="0.25">
      <c r="A1202" s="3" t="s">
        <v>163</v>
      </c>
      <c r="B1202" s="4">
        <v>11</v>
      </c>
      <c r="C1202" s="4"/>
      <c r="D1202" s="4" t="s">
        <v>164</v>
      </c>
      <c r="E1202" s="4" t="s">
        <v>6</v>
      </c>
      <c r="F1202">
        <f>COUNTIFS($D$2:D1202,D1202)</f>
        <v>6</v>
      </c>
      <c r="G1202" t="str">
        <f t="shared" si="18"/>
        <v>3871J</v>
      </c>
      <c r="H1202">
        <v>5.4623974000000004</v>
      </c>
      <c r="I1202">
        <v>52.171020900000002</v>
      </c>
      <c r="J1202" t="s">
        <v>503</v>
      </c>
      <c r="K1202" t="s">
        <v>391</v>
      </c>
      <c r="L1202" t="s">
        <v>164</v>
      </c>
      <c r="M1202" t="s">
        <v>6</v>
      </c>
    </row>
    <row r="1203" spans="1:13" x14ac:dyDescent="0.25">
      <c r="A1203" s="3" t="s">
        <v>163</v>
      </c>
      <c r="B1203" s="4">
        <v>13</v>
      </c>
      <c r="C1203" s="4"/>
      <c r="D1203" s="4" t="s">
        <v>164</v>
      </c>
      <c r="E1203" s="4" t="s">
        <v>6</v>
      </c>
      <c r="F1203">
        <f>COUNTIFS($D$2:D1203,D1203)</f>
        <v>7</v>
      </c>
      <c r="G1203" t="str">
        <f t="shared" si="18"/>
        <v>3871J</v>
      </c>
      <c r="H1203">
        <v>5.4626897999999997</v>
      </c>
      <c r="I1203">
        <v>52.171038699999997</v>
      </c>
      <c r="J1203" t="s">
        <v>503</v>
      </c>
      <c r="K1203" t="s">
        <v>359</v>
      </c>
      <c r="L1203" t="s">
        <v>164</v>
      </c>
      <c r="M1203" t="s">
        <v>6</v>
      </c>
    </row>
    <row r="1204" spans="1:13" x14ac:dyDescent="0.25">
      <c r="A1204" s="3" t="s">
        <v>163</v>
      </c>
      <c r="B1204" s="4">
        <v>15</v>
      </c>
      <c r="C1204" s="4"/>
      <c r="D1204" s="4" t="s">
        <v>164</v>
      </c>
      <c r="E1204" s="4" t="s">
        <v>6</v>
      </c>
      <c r="F1204">
        <f>COUNTIFS($D$2:D1204,D1204)</f>
        <v>8</v>
      </c>
      <c r="G1204" t="str">
        <f t="shared" si="18"/>
        <v>3871J</v>
      </c>
      <c r="H1204">
        <v>5.4627774999999996</v>
      </c>
      <c r="I1204">
        <v>52.171038600000003</v>
      </c>
      <c r="J1204" t="s">
        <v>503</v>
      </c>
      <c r="K1204" t="s">
        <v>383</v>
      </c>
      <c r="L1204" t="s">
        <v>164</v>
      </c>
      <c r="M1204" t="s">
        <v>6</v>
      </c>
    </row>
    <row r="1205" spans="1:13" x14ac:dyDescent="0.25">
      <c r="A1205" s="3" t="s">
        <v>163</v>
      </c>
      <c r="B1205" s="4">
        <v>17</v>
      </c>
      <c r="C1205" s="4"/>
      <c r="D1205" s="4" t="s">
        <v>164</v>
      </c>
      <c r="E1205" s="4" t="s">
        <v>6</v>
      </c>
      <c r="F1205">
        <f>COUNTIFS($D$2:D1205,D1205)</f>
        <v>9</v>
      </c>
      <c r="G1205" t="str">
        <f t="shared" si="18"/>
        <v>3871J</v>
      </c>
      <c r="H1205">
        <v>5.4628652000000004</v>
      </c>
      <c r="I1205">
        <v>52.171038600000003</v>
      </c>
      <c r="J1205" t="s">
        <v>503</v>
      </c>
      <c r="K1205" t="s">
        <v>360</v>
      </c>
      <c r="L1205" t="s">
        <v>164</v>
      </c>
      <c r="M1205" t="s">
        <v>6</v>
      </c>
    </row>
    <row r="1206" spans="1:13" x14ac:dyDescent="0.25">
      <c r="A1206" s="3" t="s">
        <v>163</v>
      </c>
      <c r="B1206" s="4">
        <v>19</v>
      </c>
      <c r="C1206" s="4"/>
      <c r="D1206" s="4" t="s">
        <v>164</v>
      </c>
      <c r="E1206" s="4" t="s">
        <v>6</v>
      </c>
      <c r="F1206">
        <f>COUNTIFS($D$2:D1206,D1206)</f>
        <v>10</v>
      </c>
      <c r="G1206" t="str">
        <f t="shared" si="18"/>
        <v>3871J</v>
      </c>
      <c r="H1206">
        <v>5.4629383000000002</v>
      </c>
      <c r="I1206">
        <v>52.1710475</v>
      </c>
      <c r="J1206" t="s">
        <v>503</v>
      </c>
      <c r="K1206" t="s">
        <v>361</v>
      </c>
      <c r="L1206" t="s">
        <v>164</v>
      </c>
      <c r="M1206" t="s">
        <v>6</v>
      </c>
    </row>
    <row r="1207" spans="1:13" x14ac:dyDescent="0.25">
      <c r="A1207" s="3" t="s">
        <v>163</v>
      </c>
      <c r="B1207" s="4">
        <v>21</v>
      </c>
      <c r="C1207" s="4"/>
      <c r="D1207" s="4" t="s">
        <v>164</v>
      </c>
      <c r="E1207" s="4" t="s">
        <v>6</v>
      </c>
      <c r="F1207">
        <f>COUNTIFS($D$2:D1207,D1207)</f>
        <v>11</v>
      </c>
      <c r="G1207" t="str">
        <f t="shared" si="18"/>
        <v>3871J</v>
      </c>
      <c r="H1207">
        <v>5.4630406000000002</v>
      </c>
      <c r="I1207">
        <v>52.171047399999999</v>
      </c>
      <c r="J1207" t="s">
        <v>503</v>
      </c>
      <c r="K1207" t="s">
        <v>362</v>
      </c>
      <c r="L1207" t="s">
        <v>164</v>
      </c>
      <c r="M1207" t="s">
        <v>6</v>
      </c>
    </row>
    <row r="1208" spans="1:13" x14ac:dyDescent="0.25">
      <c r="A1208" s="3" t="s">
        <v>163</v>
      </c>
      <c r="B1208" s="4">
        <v>23</v>
      </c>
      <c r="C1208" s="4"/>
      <c r="D1208" s="4" t="s">
        <v>164</v>
      </c>
      <c r="E1208" s="4" t="s">
        <v>6</v>
      </c>
      <c r="F1208">
        <f>COUNTIFS($D$2:D1208,D1208)</f>
        <v>12</v>
      </c>
      <c r="G1208" t="str">
        <f t="shared" si="18"/>
        <v>3871J</v>
      </c>
      <c r="H1208">
        <v>5.4631283000000002</v>
      </c>
      <c r="I1208">
        <v>52.171056399999998</v>
      </c>
      <c r="J1208" t="s">
        <v>503</v>
      </c>
      <c r="K1208" t="s">
        <v>384</v>
      </c>
      <c r="L1208" t="s">
        <v>164</v>
      </c>
      <c r="M1208" t="s">
        <v>6</v>
      </c>
    </row>
    <row r="1209" spans="1:13" x14ac:dyDescent="0.25">
      <c r="A1209" s="3" t="s">
        <v>163</v>
      </c>
      <c r="B1209" s="4">
        <v>25</v>
      </c>
      <c r="C1209" s="4"/>
      <c r="D1209" s="4" t="s">
        <v>164</v>
      </c>
      <c r="E1209" s="4" t="s">
        <v>6</v>
      </c>
      <c r="F1209">
        <f>COUNTIFS($D$2:D1209,D1209)</f>
        <v>13</v>
      </c>
      <c r="G1209" t="str">
        <f t="shared" si="18"/>
        <v>3871J</v>
      </c>
      <c r="H1209">
        <v>5.4633038000000003</v>
      </c>
      <c r="I1209">
        <v>52.171065200000001</v>
      </c>
      <c r="J1209" t="s">
        <v>503</v>
      </c>
      <c r="K1209" t="s">
        <v>385</v>
      </c>
      <c r="L1209" t="s">
        <v>164</v>
      </c>
      <c r="M1209" t="s">
        <v>6</v>
      </c>
    </row>
    <row r="1210" spans="1:13" x14ac:dyDescent="0.25">
      <c r="A1210" s="3" t="s">
        <v>163</v>
      </c>
      <c r="B1210" s="4">
        <v>27</v>
      </c>
      <c r="C1210" s="4"/>
      <c r="D1210" s="4" t="s">
        <v>164</v>
      </c>
      <c r="E1210" s="4" t="s">
        <v>6</v>
      </c>
      <c r="F1210">
        <f>COUNTIFS($D$2:D1210,D1210)</f>
        <v>14</v>
      </c>
      <c r="G1210" t="str">
        <f t="shared" si="18"/>
        <v>3871J</v>
      </c>
      <c r="H1210">
        <v>5.4633769000000001</v>
      </c>
      <c r="I1210">
        <v>52.171065200000001</v>
      </c>
      <c r="J1210" t="s">
        <v>503</v>
      </c>
      <c r="K1210" t="s">
        <v>393</v>
      </c>
      <c r="L1210" t="s">
        <v>164</v>
      </c>
      <c r="M1210" t="s">
        <v>6</v>
      </c>
    </row>
    <row r="1211" spans="1:13" x14ac:dyDescent="0.25">
      <c r="A1211" s="3" t="s">
        <v>163</v>
      </c>
      <c r="B1211" s="4">
        <v>29</v>
      </c>
      <c r="C1211" s="4"/>
      <c r="D1211" s="4" t="s">
        <v>164</v>
      </c>
      <c r="E1211" s="4" t="s">
        <v>6</v>
      </c>
      <c r="F1211">
        <f>COUNTIFS($D$2:D1211,D1211)</f>
        <v>15</v>
      </c>
      <c r="G1211" t="str">
        <f t="shared" si="18"/>
        <v>3871J</v>
      </c>
      <c r="H1211">
        <v>5.4634646</v>
      </c>
      <c r="I1211">
        <v>52.1710651</v>
      </c>
      <c r="J1211" t="s">
        <v>503</v>
      </c>
      <c r="K1211" t="s">
        <v>364</v>
      </c>
      <c r="L1211" t="s">
        <v>164</v>
      </c>
      <c r="M1211" t="s">
        <v>6</v>
      </c>
    </row>
    <row r="1212" spans="1:13" x14ac:dyDescent="0.25">
      <c r="A1212" s="3" t="s">
        <v>163</v>
      </c>
      <c r="B1212" s="4">
        <v>31</v>
      </c>
      <c r="C1212" s="4"/>
      <c r="D1212" s="4" t="s">
        <v>164</v>
      </c>
      <c r="E1212" s="4" t="s">
        <v>6</v>
      </c>
      <c r="F1212">
        <f>COUNTIFS($D$2:D1212,D1212)</f>
        <v>16</v>
      </c>
      <c r="G1212" t="str">
        <f t="shared" si="18"/>
        <v>3871J</v>
      </c>
      <c r="H1212">
        <v>5.4635522999999999</v>
      </c>
      <c r="I1212">
        <v>52.171074099999998</v>
      </c>
      <c r="J1212" t="s">
        <v>503</v>
      </c>
      <c r="K1212" t="s">
        <v>323</v>
      </c>
      <c r="L1212" t="s">
        <v>164</v>
      </c>
      <c r="M1212" t="s">
        <v>6</v>
      </c>
    </row>
    <row r="1213" spans="1:13" x14ac:dyDescent="0.25">
      <c r="A1213" s="3" t="s">
        <v>165</v>
      </c>
      <c r="B1213" s="4">
        <v>2</v>
      </c>
      <c r="C1213" s="4"/>
      <c r="D1213" s="4" t="s">
        <v>166</v>
      </c>
      <c r="E1213" s="4" t="s">
        <v>6</v>
      </c>
      <c r="F1213">
        <f>COUNTIFS($D$2:D1213,D1213)</f>
        <v>1</v>
      </c>
      <c r="G1213" t="str">
        <f t="shared" si="18"/>
        <v>3871J</v>
      </c>
      <c r="H1213">
        <v>5.4626732000000002</v>
      </c>
      <c r="I1213">
        <v>52.169879299999998</v>
      </c>
      <c r="J1213" t="s">
        <v>504</v>
      </c>
      <c r="K1213" t="s">
        <v>370</v>
      </c>
      <c r="L1213" t="s">
        <v>166</v>
      </c>
      <c r="M1213" t="s">
        <v>6</v>
      </c>
    </row>
    <row r="1214" spans="1:13" x14ac:dyDescent="0.25">
      <c r="A1214" s="3" t="s">
        <v>165</v>
      </c>
      <c r="B1214" s="4">
        <v>4</v>
      </c>
      <c r="C1214" s="4"/>
      <c r="D1214" s="4" t="s">
        <v>166</v>
      </c>
      <c r="E1214" s="4" t="s">
        <v>6</v>
      </c>
      <c r="F1214">
        <f>COUNTIFS($D$2:D1214,D1214)</f>
        <v>2</v>
      </c>
      <c r="G1214" t="str">
        <f t="shared" si="18"/>
        <v>3871J</v>
      </c>
      <c r="H1214">
        <v>5.4634333000000002</v>
      </c>
      <c r="I1214">
        <v>52.169905700000001</v>
      </c>
      <c r="J1214" t="s">
        <v>504</v>
      </c>
      <c r="K1214" t="s">
        <v>260</v>
      </c>
      <c r="L1214" t="s">
        <v>166</v>
      </c>
      <c r="M1214" t="s">
        <v>6</v>
      </c>
    </row>
    <row r="1215" spans="1:13" x14ac:dyDescent="0.25">
      <c r="A1215" s="3" t="s">
        <v>167</v>
      </c>
      <c r="B1215" s="4">
        <v>2</v>
      </c>
      <c r="C1215" s="4"/>
      <c r="D1215" s="4" t="s">
        <v>236</v>
      </c>
      <c r="E1215" s="4" t="s">
        <v>6</v>
      </c>
      <c r="F1215">
        <f>COUNTIFS($D$2:D1215,D1215)</f>
        <v>1</v>
      </c>
      <c r="G1215" t="str">
        <f t="shared" si="18"/>
        <v>3871J</v>
      </c>
      <c r="H1215">
        <v>5.4624531999999997</v>
      </c>
      <c r="I1215">
        <v>52.169448000000003</v>
      </c>
      <c r="J1215" t="s">
        <v>505</v>
      </c>
      <c r="K1215" t="s">
        <v>370</v>
      </c>
      <c r="L1215" t="s">
        <v>236</v>
      </c>
      <c r="M1215" t="s">
        <v>6</v>
      </c>
    </row>
    <row r="1216" spans="1:13" x14ac:dyDescent="0.25">
      <c r="A1216" s="3" t="s">
        <v>167</v>
      </c>
      <c r="B1216" s="4">
        <v>4</v>
      </c>
      <c r="C1216" s="4"/>
      <c r="D1216" s="4" t="s">
        <v>236</v>
      </c>
      <c r="E1216" s="4" t="s">
        <v>6</v>
      </c>
      <c r="F1216">
        <f>COUNTIFS($D$2:D1216,D1216)</f>
        <v>2</v>
      </c>
      <c r="G1216" t="str">
        <f t="shared" si="18"/>
        <v>3871J</v>
      </c>
      <c r="H1216">
        <v>5.4627645999999999</v>
      </c>
      <c r="I1216">
        <v>52.169426700000002</v>
      </c>
      <c r="J1216" t="s">
        <v>505</v>
      </c>
      <c r="K1216" t="s">
        <v>260</v>
      </c>
      <c r="L1216" t="s">
        <v>236</v>
      </c>
      <c r="M1216" t="s">
        <v>6</v>
      </c>
    </row>
    <row r="1217" spans="1:13" x14ac:dyDescent="0.25">
      <c r="A1217" s="3" t="s">
        <v>167</v>
      </c>
      <c r="B1217" s="4">
        <v>6</v>
      </c>
      <c r="C1217" s="4"/>
      <c r="D1217" s="4" t="s">
        <v>236</v>
      </c>
      <c r="E1217" s="4" t="s">
        <v>6</v>
      </c>
      <c r="F1217">
        <f>COUNTIFS($D$2:D1217,D1217)</f>
        <v>3</v>
      </c>
      <c r="G1217" t="str">
        <f t="shared" si="18"/>
        <v>3871J</v>
      </c>
      <c r="H1217">
        <v>5.4627993000000004</v>
      </c>
      <c r="I1217">
        <v>52.169173899999997</v>
      </c>
      <c r="J1217" t="s">
        <v>505</v>
      </c>
      <c r="K1217" t="s">
        <v>262</v>
      </c>
      <c r="L1217" t="s">
        <v>236</v>
      </c>
      <c r="M1217" t="s">
        <v>6</v>
      </c>
    </row>
    <row r="1218" spans="1:13" x14ac:dyDescent="0.25">
      <c r="A1218" s="3" t="s">
        <v>167</v>
      </c>
      <c r="B1218" s="4">
        <v>10</v>
      </c>
      <c r="C1218" s="4"/>
      <c r="D1218" s="4" t="s">
        <v>236</v>
      </c>
      <c r="E1218" s="4" t="s">
        <v>6</v>
      </c>
      <c r="F1218">
        <f>COUNTIFS($D$2:D1218,D1218)</f>
        <v>4</v>
      </c>
      <c r="G1218" t="str">
        <f t="shared" ref="G1218:G1281" si="19">LEFT(A1218,5)</f>
        <v>3871J</v>
      </c>
      <c r="H1218">
        <v>5.4631318000000002</v>
      </c>
      <c r="I1218">
        <v>52.169047499999998</v>
      </c>
      <c r="J1218" t="s">
        <v>505</v>
      </c>
      <c r="K1218" t="s">
        <v>264</v>
      </c>
      <c r="L1218" t="s">
        <v>236</v>
      </c>
      <c r="M1218" t="s">
        <v>6</v>
      </c>
    </row>
    <row r="1219" spans="1:13" x14ac:dyDescent="0.25">
      <c r="A1219" s="3" t="s">
        <v>167</v>
      </c>
      <c r="B1219" s="4">
        <v>12</v>
      </c>
      <c r="C1219" s="4"/>
      <c r="D1219" s="4" t="s">
        <v>236</v>
      </c>
      <c r="E1219" s="4" t="s">
        <v>6</v>
      </c>
      <c r="F1219">
        <f>COUNTIFS($D$2:D1219,D1219)</f>
        <v>5</v>
      </c>
      <c r="G1219" t="str">
        <f t="shared" si="19"/>
        <v>3871J</v>
      </c>
      <c r="H1219">
        <v>5.4633589000000002</v>
      </c>
      <c r="I1219">
        <v>52.169063600000001</v>
      </c>
      <c r="J1219" t="s">
        <v>505</v>
      </c>
      <c r="K1219" t="s">
        <v>265</v>
      </c>
      <c r="L1219" t="s">
        <v>236</v>
      </c>
      <c r="M1219" t="s">
        <v>6</v>
      </c>
    </row>
    <row r="1220" spans="1:13" x14ac:dyDescent="0.25">
      <c r="A1220" s="3" t="s">
        <v>167</v>
      </c>
      <c r="B1220" s="4">
        <v>14</v>
      </c>
      <c r="C1220" s="4"/>
      <c r="D1220" s="4" t="s">
        <v>236</v>
      </c>
      <c r="E1220" s="4" t="s">
        <v>6</v>
      </c>
      <c r="F1220">
        <f>COUNTIFS($D$2:D1220,D1220)</f>
        <v>6</v>
      </c>
      <c r="G1220" t="str">
        <f t="shared" si="19"/>
        <v>3871J</v>
      </c>
      <c r="H1220">
        <v>5.4635940999999999</v>
      </c>
      <c r="I1220">
        <v>52.169083200000003</v>
      </c>
      <c r="J1220" t="s">
        <v>505</v>
      </c>
      <c r="K1220" t="s">
        <v>266</v>
      </c>
      <c r="L1220" t="s">
        <v>236</v>
      </c>
      <c r="M1220" t="s">
        <v>6</v>
      </c>
    </row>
    <row r="1221" spans="1:13" x14ac:dyDescent="0.25">
      <c r="A1221" s="3" t="s">
        <v>167</v>
      </c>
      <c r="B1221" s="4">
        <v>18</v>
      </c>
      <c r="C1221" s="4"/>
      <c r="D1221" s="4" t="s">
        <v>236</v>
      </c>
      <c r="E1221" s="4" t="s">
        <v>6</v>
      </c>
      <c r="F1221">
        <f>COUNTIFS($D$2:D1221,D1221)</f>
        <v>7</v>
      </c>
      <c r="G1221" t="str">
        <f t="shared" si="19"/>
        <v>3871J</v>
      </c>
      <c r="H1221">
        <v>5.4640465000000003</v>
      </c>
      <c r="I1221">
        <v>52.169055</v>
      </c>
      <c r="J1221" t="s">
        <v>505</v>
      </c>
      <c r="K1221" t="s">
        <v>267</v>
      </c>
      <c r="L1221" t="s">
        <v>236</v>
      </c>
      <c r="M1221" t="s">
        <v>6</v>
      </c>
    </row>
    <row r="1222" spans="1:13" x14ac:dyDescent="0.25">
      <c r="A1222" s="3" t="s">
        <v>167</v>
      </c>
      <c r="B1222" s="4">
        <v>20</v>
      </c>
      <c r="C1222" s="4"/>
      <c r="D1222" s="4" t="s">
        <v>236</v>
      </c>
      <c r="E1222" s="4" t="s">
        <v>6</v>
      </c>
      <c r="F1222">
        <f>COUNTIFS($D$2:D1222,D1222)</f>
        <v>8</v>
      </c>
      <c r="G1222" t="str">
        <f t="shared" si="19"/>
        <v>3871J</v>
      </c>
      <c r="H1222">
        <v>5.4643271999999996</v>
      </c>
      <c r="I1222">
        <v>52.168993800000003</v>
      </c>
      <c r="J1222" t="s">
        <v>505</v>
      </c>
      <c r="K1222" t="s">
        <v>372</v>
      </c>
      <c r="L1222" t="s">
        <v>236</v>
      </c>
      <c r="M1222" t="s">
        <v>6</v>
      </c>
    </row>
    <row r="1223" spans="1:13" x14ac:dyDescent="0.25">
      <c r="A1223" s="3" t="s">
        <v>167</v>
      </c>
      <c r="B1223" s="4">
        <v>22</v>
      </c>
      <c r="C1223" s="4"/>
      <c r="D1223" s="4" t="s">
        <v>236</v>
      </c>
      <c r="E1223" s="4" t="s">
        <v>6</v>
      </c>
      <c r="F1223">
        <f>COUNTIFS($D$2:D1223,D1223)</f>
        <v>9</v>
      </c>
      <c r="G1223" t="str">
        <f t="shared" si="19"/>
        <v>3871J</v>
      </c>
      <c r="H1223">
        <v>5.4646001999999996</v>
      </c>
      <c r="I1223">
        <v>52.169028400000002</v>
      </c>
      <c r="J1223" t="s">
        <v>505</v>
      </c>
      <c r="K1223" t="s">
        <v>269</v>
      </c>
      <c r="L1223" t="s">
        <v>236</v>
      </c>
      <c r="M1223" t="s">
        <v>6</v>
      </c>
    </row>
    <row r="1224" spans="1:13" x14ac:dyDescent="0.25">
      <c r="A1224" s="3" t="s">
        <v>167</v>
      </c>
      <c r="B1224" s="4">
        <v>24</v>
      </c>
      <c r="C1224" s="4"/>
      <c r="D1224" s="4" t="s">
        <v>236</v>
      </c>
      <c r="E1224" s="4" t="s">
        <v>6</v>
      </c>
      <c r="F1224">
        <f>COUNTIFS($D$2:D1224,D1224)</f>
        <v>10</v>
      </c>
      <c r="G1224" t="str">
        <f t="shared" si="19"/>
        <v>3871J</v>
      </c>
      <c r="H1224">
        <v>5.4647154999999996</v>
      </c>
      <c r="I1224">
        <v>52.169069</v>
      </c>
      <c r="J1224" t="s">
        <v>505</v>
      </c>
      <c r="K1224" t="s">
        <v>270</v>
      </c>
      <c r="L1224" t="s">
        <v>236</v>
      </c>
      <c r="M1224" t="s">
        <v>6</v>
      </c>
    </row>
    <row r="1225" spans="1:13" x14ac:dyDescent="0.25">
      <c r="A1225" s="3" t="s">
        <v>167</v>
      </c>
      <c r="B1225" s="4">
        <v>26</v>
      </c>
      <c r="C1225" s="4"/>
      <c r="D1225" s="4" t="s">
        <v>236</v>
      </c>
      <c r="E1225" s="4" t="s">
        <v>6</v>
      </c>
      <c r="F1225">
        <f>COUNTIFS($D$2:D1225,D1225)</f>
        <v>11</v>
      </c>
      <c r="G1225" t="str">
        <f t="shared" si="19"/>
        <v>3871J</v>
      </c>
      <c r="H1225">
        <v>5.4649201999999999</v>
      </c>
      <c r="I1225">
        <v>52.169086800000002</v>
      </c>
      <c r="J1225" t="s">
        <v>505</v>
      </c>
      <c r="K1225" t="s">
        <v>271</v>
      </c>
      <c r="L1225" t="s">
        <v>236</v>
      </c>
      <c r="M1225" t="s">
        <v>6</v>
      </c>
    </row>
    <row r="1226" spans="1:13" x14ac:dyDescent="0.25">
      <c r="A1226" s="3" t="s">
        <v>167</v>
      </c>
      <c r="B1226" s="4">
        <v>28</v>
      </c>
      <c r="C1226" s="4"/>
      <c r="D1226" s="4" t="s">
        <v>236</v>
      </c>
      <c r="E1226" s="4" t="s">
        <v>6</v>
      </c>
      <c r="F1226">
        <f>COUNTIFS($D$2:D1226,D1226)</f>
        <v>12</v>
      </c>
      <c r="G1226" t="str">
        <f t="shared" si="19"/>
        <v>3871J</v>
      </c>
      <c r="H1226">
        <v>5.4651714</v>
      </c>
      <c r="I1226">
        <v>52.169113699999997</v>
      </c>
      <c r="J1226" t="s">
        <v>505</v>
      </c>
      <c r="K1226" t="s">
        <v>272</v>
      </c>
      <c r="L1226" t="s">
        <v>236</v>
      </c>
      <c r="M1226" t="s">
        <v>6</v>
      </c>
    </row>
    <row r="1227" spans="1:13" x14ac:dyDescent="0.25">
      <c r="A1227" s="3" t="s">
        <v>167</v>
      </c>
      <c r="B1227" s="4">
        <v>30</v>
      </c>
      <c r="C1227" s="4"/>
      <c r="D1227" s="4" t="s">
        <v>236</v>
      </c>
      <c r="E1227" s="4" t="s">
        <v>6</v>
      </c>
      <c r="F1227">
        <f>COUNTIFS($D$2:D1227,D1227)</f>
        <v>13</v>
      </c>
      <c r="G1227" t="str">
        <f t="shared" si="19"/>
        <v>3871J</v>
      </c>
      <c r="H1227">
        <v>5.4653877</v>
      </c>
      <c r="I1227">
        <v>52.1691377</v>
      </c>
      <c r="J1227" t="s">
        <v>505</v>
      </c>
      <c r="K1227" t="s">
        <v>373</v>
      </c>
      <c r="L1227" t="s">
        <v>236</v>
      </c>
      <c r="M1227" t="s">
        <v>6</v>
      </c>
    </row>
    <row r="1228" spans="1:13" x14ac:dyDescent="0.25">
      <c r="A1228" s="3" t="s">
        <v>167</v>
      </c>
      <c r="B1228" s="4">
        <v>32</v>
      </c>
      <c r="C1228" s="4"/>
      <c r="D1228" s="4" t="s">
        <v>236</v>
      </c>
      <c r="E1228" s="4" t="s">
        <v>6</v>
      </c>
      <c r="F1228">
        <f>COUNTIFS($D$2:D1228,D1228)</f>
        <v>14</v>
      </c>
      <c r="G1228" t="str">
        <f t="shared" si="19"/>
        <v>3871J</v>
      </c>
      <c r="H1228">
        <v>5.4655997999999997</v>
      </c>
      <c r="I1228">
        <v>52.169169500000002</v>
      </c>
      <c r="J1228" t="s">
        <v>505</v>
      </c>
      <c r="K1228" t="s">
        <v>273</v>
      </c>
      <c r="L1228" t="s">
        <v>236</v>
      </c>
      <c r="M1228" t="s">
        <v>6</v>
      </c>
    </row>
    <row r="1229" spans="1:13" x14ac:dyDescent="0.25">
      <c r="A1229" s="3" t="s">
        <v>168</v>
      </c>
      <c r="B1229" s="4">
        <v>1</v>
      </c>
      <c r="C1229" s="4"/>
      <c r="D1229" s="4" t="s">
        <v>236</v>
      </c>
      <c r="E1229" s="4" t="s">
        <v>6</v>
      </c>
      <c r="F1229">
        <f>COUNTIFS($D$2:D1229,D1229)</f>
        <v>15</v>
      </c>
      <c r="G1229" t="str">
        <f t="shared" si="19"/>
        <v>3871J</v>
      </c>
      <c r="H1229">
        <v>5.4632867000000003</v>
      </c>
      <c r="I1229">
        <v>52.169600199999998</v>
      </c>
      <c r="J1229" t="s">
        <v>506</v>
      </c>
      <c r="K1229" t="s">
        <v>355</v>
      </c>
      <c r="L1229" t="s">
        <v>236</v>
      </c>
      <c r="M1229" t="s">
        <v>6</v>
      </c>
    </row>
    <row r="1230" spans="1:13" x14ac:dyDescent="0.25">
      <c r="A1230" s="3" t="s">
        <v>168</v>
      </c>
      <c r="B1230" s="4">
        <v>1</v>
      </c>
      <c r="C1230" s="4" t="s">
        <v>8</v>
      </c>
      <c r="D1230" s="4" t="s">
        <v>236</v>
      </c>
      <c r="E1230" s="4" t="s">
        <v>6</v>
      </c>
      <c r="F1230">
        <f>COUNTIFS($D$2:D1230,D1230)</f>
        <v>16</v>
      </c>
      <c r="G1230" t="str">
        <f t="shared" si="19"/>
        <v>3871J</v>
      </c>
      <c r="H1230">
        <v>5.4622491000000002</v>
      </c>
      <c r="I1230">
        <v>52.169771699999998</v>
      </c>
      <c r="J1230" t="s">
        <v>506</v>
      </c>
      <c r="K1230" t="s">
        <v>400</v>
      </c>
      <c r="L1230" t="s">
        <v>236</v>
      </c>
      <c r="M1230" t="s">
        <v>6</v>
      </c>
    </row>
    <row r="1231" spans="1:13" x14ac:dyDescent="0.25">
      <c r="A1231" s="3" t="s">
        <v>168</v>
      </c>
      <c r="B1231" s="4">
        <v>3</v>
      </c>
      <c r="C1231" s="4"/>
      <c r="D1231" s="4" t="s">
        <v>236</v>
      </c>
      <c r="E1231" s="4" t="s">
        <v>6</v>
      </c>
      <c r="F1231">
        <f>COUNTIFS($D$2:D1231,D1231)</f>
        <v>17</v>
      </c>
      <c r="G1231" t="str">
        <f t="shared" si="19"/>
        <v>3871J</v>
      </c>
      <c r="H1231">
        <v>5.4633010000000004</v>
      </c>
      <c r="I1231">
        <v>52.1694295</v>
      </c>
      <c r="J1231" t="s">
        <v>506</v>
      </c>
      <c r="K1231" t="s">
        <v>356</v>
      </c>
      <c r="L1231" t="s">
        <v>236</v>
      </c>
      <c r="M1231" t="s">
        <v>6</v>
      </c>
    </row>
    <row r="1232" spans="1:13" x14ac:dyDescent="0.25">
      <c r="A1232" s="3" t="s">
        <v>168</v>
      </c>
      <c r="B1232" s="4">
        <v>5</v>
      </c>
      <c r="C1232" s="4"/>
      <c r="D1232" s="4" t="s">
        <v>236</v>
      </c>
      <c r="E1232" s="4" t="s">
        <v>6</v>
      </c>
      <c r="F1232">
        <f>COUNTIFS($D$2:D1232,D1232)</f>
        <v>18</v>
      </c>
      <c r="G1232" t="str">
        <f t="shared" si="19"/>
        <v>3871J</v>
      </c>
      <c r="H1232">
        <v>5.4635639999999999</v>
      </c>
      <c r="I1232">
        <v>52.169402300000002</v>
      </c>
      <c r="J1232" t="s">
        <v>506</v>
      </c>
      <c r="K1232" t="s">
        <v>357</v>
      </c>
      <c r="L1232" t="s">
        <v>236</v>
      </c>
      <c r="M1232" t="s">
        <v>6</v>
      </c>
    </row>
    <row r="1233" spans="1:13" x14ac:dyDescent="0.25">
      <c r="A1233" s="3" t="s">
        <v>169</v>
      </c>
      <c r="B1233" s="4">
        <v>1</v>
      </c>
      <c r="C1233" s="4"/>
      <c r="D1233" s="4" t="s">
        <v>170</v>
      </c>
      <c r="E1233" s="4" t="s">
        <v>6</v>
      </c>
      <c r="F1233">
        <f>COUNTIFS($D$2:D1233,D1233)</f>
        <v>1</v>
      </c>
      <c r="G1233" t="str">
        <f t="shared" si="19"/>
        <v>3871J</v>
      </c>
      <c r="H1233">
        <v>5.4664780999999998</v>
      </c>
      <c r="I1233">
        <v>52.170043399999997</v>
      </c>
      <c r="J1233" t="s">
        <v>507</v>
      </c>
      <c r="K1233" t="s">
        <v>355</v>
      </c>
      <c r="L1233" t="s">
        <v>170</v>
      </c>
      <c r="M1233" t="s">
        <v>6</v>
      </c>
    </row>
    <row r="1234" spans="1:13" x14ac:dyDescent="0.25">
      <c r="A1234" s="3" t="s">
        <v>169</v>
      </c>
      <c r="B1234" s="4">
        <v>2</v>
      </c>
      <c r="C1234" s="4"/>
      <c r="D1234" s="4" t="s">
        <v>170</v>
      </c>
      <c r="E1234" s="4" t="s">
        <v>6</v>
      </c>
      <c r="F1234">
        <f>COUNTIFS($D$2:D1234,D1234)</f>
        <v>2</v>
      </c>
      <c r="G1234" t="str">
        <f t="shared" si="19"/>
        <v>3871J</v>
      </c>
      <c r="H1234">
        <v>5.4665670000000004</v>
      </c>
      <c r="I1234">
        <v>52.1700582</v>
      </c>
      <c r="J1234" t="s">
        <v>507</v>
      </c>
      <c r="K1234" t="s">
        <v>370</v>
      </c>
      <c r="L1234" t="s">
        <v>170</v>
      </c>
      <c r="M1234" t="s">
        <v>6</v>
      </c>
    </row>
    <row r="1235" spans="1:13" x14ac:dyDescent="0.25">
      <c r="A1235" s="3" t="s">
        <v>169</v>
      </c>
      <c r="B1235" s="4">
        <v>3</v>
      </c>
      <c r="C1235" s="4"/>
      <c r="D1235" s="4" t="s">
        <v>170</v>
      </c>
      <c r="E1235" s="4" t="s">
        <v>6</v>
      </c>
      <c r="F1235">
        <f>COUNTIFS($D$2:D1235,D1235)</f>
        <v>3</v>
      </c>
      <c r="G1235" t="str">
        <f t="shared" si="19"/>
        <v>3871J</v>
      </c>
      <c r="H1235">
        <v>5.4666597000000001</v>
      </c>
      <c r="I1235">
        <v>52.170075500000003</v>
      </c>
      <c r="J1235" t="s">
        <v>507</v>
      </c>
      <c r="K1235" t="s">
        <v>356</v>
      </c>
      <c r="L1235" t="s">
        <v>170</v>
      </c>
      <c r="M1235" t="s">
        <v>6</v>
      </c>
    </row>
    <row r="1236" spans="1:13" x14ac:dyDescent="0.25">
      <c r="A1236" s="3" t="s">
        <v>169</v>
      </c>
      <c r="B1236" s="4">
        <v>4</v>
      </c>
      <c r="C1236" s="4"/>
      <c r="D1236" s="4" t="s">
        <v>170</v>
      </c>
      <c r="E1236" s="4" t="s">
        <v>6</v>
      </c>
      <c r="F1236">
        <f>COUNTIFS($D$2:D1236,D1236)</f>
        <v>4</v>
      </c>
      <c r="G1236" t="str">
        <f t="shared" si="19"/>
        <v>3871J</v>
      </c>
      <c r="H1236">
        <v>5.4667383999999997</v>
      </c>
      <c r="I1236">
        <v>52.1700941</v>
      </c>
      <c r="J1236" t="s">
        <v>507</v>
      </c>
      <c r="K1236" t="s">
        <v>260</v>
      </c>
      <c r="L1236" t="s">
        <v>170</v>
      </c>
      <c r="M1236" t="s">
        <v>6</v>
      </c>
    </row>
    <row r="1237" spans="1:13" x14ac:dyDescent="0.25">
      <c r="A1237" s="3" t="s">
        <v>169</v>
      </c>
      <c r="B1237" s="4">
        <v>5</v>
      </c>
      <c r="C1237" s="4"/>
      <c r="D1237" s="4" t="s">
        <v>170</v>
      </c>
      <c r="E1237" s="4" t="s">
        <v>6</v>
      </c>
      <c r="F1237">
        <f>COUNTIFS($D$2:D1237,D1237)</f>
        <v>5</v>
      </c>
      <c r="G1237" t="str">
        <f t="shared" si="19"/>
        <v>3871J</v>
      </c>
      <c r="H1237">
        <v>5.4669021999999998</v>
      </c>
      <c r="I1237">
        <v>52.170077999999997</v>
      </c>
      <c r="J1237" t="s">
        <v>507</v>
      </c>
      <c r="K1237" t="s">
        <v>357</v>
      </c>
      <c r="L1237" t="s">
        <v>170</v>
      </c>
      <c r="M1237" t="s">
        <v>6</v>
      </c>
    </row>
    <row r="1238" spans="1:13" x14ac:dyDescent="0.25">
      <c r="A1238" s="3" t="s">
        <v>169</v>
      </c>
      <c r="B1238" s="4">
        <v>6</v>
      </c>
      <c r="C1238" s="4"/>
      <c r="D1238" s="4" t="s">
        <v>170</v>
      </c>
      <c r="E1238" s="4" t="s">
        <v>6</v>
      </c>
      <c r="F1238">
        <f>COUNTIFS($D$2:D1238,D1238)</f>
        <v>6</v>
      </c>
      <c r="G1238" t="str">
        <f t="shared" si="19"/>
        <v>3871J</v>
      </c>
      <c r="H1238">
        <v>5.4669999000000002</v>
      </c>
      <c r="I1238">
        <v>52.170092099999998</v>
      </c>
      <c r="J1238" t="s">
        <v>507</v>
      </c>
      <c r="K1238" t="s">
        <v>262</v>
      </c>
      <c r="L1238" t="s">
        <v>170</v>
      </c>
      <c r="M1238" t="s">
        <v>6</v>
      </c>
    </row>
    <row r="1239" spans="1:13" x14ac:dyDescent="0.25">
      <c r="A1239" s="3" t="s">
        <v>169</v>
      </c>
      <c r="B1239" s="4">
        <v>7</v>
      </c>
      <c r="C1239" s="4"/>
      <c r="D1239" s="4" t="s">
        <v>170</v>
      </c>
      <c r="E1239" s="4" t="s">
        <v>6</v>
      </c>
      <c r="F1239">
        <f>COUNTIFS($D$2:D1239,D1239)</f>
        <v>7</v>
      </c>
      <c r="G1239" t="str">
        <f t="shared" si="19"/>
        <v>3871J</v>
      </c>
      <c r="H1239">
        <v>5.4670835000000002</v>
      </c>
      <c r="I1239">
        <v>52.170104299999998</v>
      </c>
      <c r="J1239" t="s">
        <v>507</v>
      </c>
      <c r="K1239" t="s">
        <v>358</v>
      </c>
      <c r="L1239" t="s">
        <v>170</v>
      </c>
      <c r="M1239" t="s">
        <v>6</v>
      </c>
    </row>
    <row r="1240" spans="1:13" x14ac:dyDescent="0.25">
      <c r="A1240" s="3" t="s">
        <v>169</v>
      </c>
      <c r="B1240" s="4">
        <v>8</v>
      </c>
      <c r="C1240" s="4"/>
      <c r="D1240" s="4" t="s">
        <v>170</v>
      </c>
      <c r="E1240" s="4" t="s">
        <v>6</v>
      </c>
      <c r="F1240">
        <f>COUNTIFS($D$2:D1240,D1240)</f>
        <v>8</v>
      </c>
      <c r="G1240" t="str">
        <f t="shared" si="19"/>
        <v>3871J</v>
      </c>
      <c r="H1240">
        <v>5.4671766999999996</v>
      </c>
      <c r="I1240">
        <v>52.170116100000001</v>
      </c>
      <c r="J1240" t="s">
        <v>507</v>
      </c>
      <c r="K1240" t="s">
        <v>263</v>
      </c>
      <c r="L1240" t="s">
        <v>170</v>
      </c>
      <c r="M1240" t="s">
        <v>6</v>
      </c>
    </row>
    <row r="1241" spans="1:13" x14ac:dyDescent="0.25">
      <c r="A1241" s="3" t="s">
        <v>171</v>
      </c>
      <c r="B1241" s="4">
        <v>1</v>
      </c>
      <c r="C1241" s="4"/>
      <c r="D1241" s="4" t="s">
        <v>172</v>
      </c>
      <c r="E1241" s="4" t="s">
        <v>6</v>
      </c>
      <c r="F1241">
        <f>COUNTIFS($D$2:D1241,D1241)</f>
        <v>1</v>
      </c>
      <c r="G1241" t="str">
        <f t="shared" si="19"/>
        <v>3871J</v>
      </c>
      <c r="H1241">
        <v>5.4676005999999999</v>
      </c>
      <c r="I1241">
        <v>52.170368600000003</v>
      </c>
      <c r="J1241" t="s">
        <v>508</v>
      </c>
      <c r="K1241" t="s">
        <v>355</v>
      </c>
      <c r="L1241" t="s">
        <v>172</v>
      </c>
      <c r="M1241" t="s">
        <v>6</v>
      </c>
    </row>
    <row r="1242" spans="1:13" x14ac:dyDescent="0.25">
      <c r="A1242" s="3" t="s">
        <v>171</v>
      </c>
      <c r="B1242" s="4">
        <v>2</v>
      </c>
      <c r="C1242" s="4"/>
      <c r="D1242" s="4" t="s">
        <v>172</v>
      </c>
      <c r="E1242" s="4" t="s">
        <v>6</v>
      </c>
      <c r="F1242">
        <f>COUNTIFS($D$2:D1242,D1242)</f>
        <v>2</v>
      </c>
      <c r="G1242" t="str">
        <f t="shared" si="19"/>
        <v>3871J</v>
      </c>
      <c r="H1242">
        <v>5.4671751999999998</v>
      </c>
      <c r="I1242">
        <v>52.169804399999997</v>
      </c>
      <c r="J1242" t="s">
        <v>508</v>
      </c>
      <c r="K1242" t="s">
        <v>370</v>
      </c>
      <c r="L1242" t="s">
        <v>172</v>
      </c>
      <c r="M1242" t="s">
        <v>6</v>
      </c>
    </row>
    <row r="1243" spans="1:13" x14ac:dyDescent="0.25">
      <c r="A1243" s="3" t="s">
        <v>171</v>
      </c>
      <c r="B1243" s="4">
        <v>3</v>
      </c>
      <c r="C1243" s="4"/>
      <c r="D1243" s="4" t="s">
        <v>172</v>
      </c>
      <c r="E1243" s="4" t="s">
        <v>6</v>
      </c>
      <c r="F1243">
        <f>COUNTIFS($D$2:D1243,D1243)</f>
        <v>3</v>
      </c>
      <c r="G1243" t="str">
        <f t="shared" si="19"/>
        <v>3871J</v>
      </c>
      <c r="H1243">
        <v>5.4676730999999998</v>
      </c>
      <c r="I1243">
        <v>52.1702984</v>
      </c>
      <c r="J1243" t="s">
        <v>508</v>
      </c>
      <c r="K1243" t="s">
        <v>356</v>
      </c>
      <c r="L1243" t="s">
        <v>172</v>
      </c>
      <c r="M1243" t="s">
        <v>6</v>
      </c>
    </row>
    <row r="1244" spans="1:13" x14ac:dyDescent="0.25">
      <c r="A1244" s="3" t="s">
        <v>171</v>
      </c>
      <c r="B1244" s="4">
        <v>4</v>
      </c>
      <c r="C1244" s="4"/>
      <c r="D1244" s="4" t="s">
        <v>172</v>
      </c>
      <c r="E1244" s="4" t="s">
        <v>6</v>
      </c>
      <c r="F1244">
        <f>COUNTIFS($D$2:D1244,D1244)</f>
        <v>4</v>
      </c>
      <c r="G1244" t="str">
        <f t="shared" si="19"/>
        <v>3871J</v>
      </c>
      <c r="H1244">
        <v>5.4671751000000004</v>
      </c>
      <c r="I1244">
        <v>52.169750399999998</v>
      </c>
      <c r="J1244" t="s">
        <v>508</v>
      </c>
      <c r="K1244" t="s">
        <v>260</v>
      </c>
      <c r="L1244" t="s">
        <v>172</v>
      </c>
      <c r="M1244" t="s">
        <v>6</v>
      </c>
    </row>
    <row r="1245" spans="1:13" x14ac:dyDescent="0.25">
      <c r="A1245" s="3" t="s">
        <v>171</v>
      </c>
      <c r="B1245" s="4">
        <v>5</v>
      </c>
      <c r="C1245" s="4"/>
      <c r="D1245" s="4" t="s">
        <v>172</v>
      </c>
      <c r="E1245" s="4" t="s">
        <v>6</v>
      </c>
      <c r="F1245">
        <f>COUNTIFS($D$2:D1245,D1245)</f>
        <v>5</v>
      </c>
      <c r="G1245" t="str">
        <f t="shared" si="19"/>
        <v>3871J</v>
      </c>
      <c r="H1245">
        <v>5.4676729999999996</v>
      </c>
      <c r="I1245">
        <v>52.170244400000001</v>
      </c>
      <c r="J1245" t="s">
        <v>508</v>
      </c>
      <c r="K1245" t="s">
        <v>357</v>
      </c>
      <c r="L1245" t="s">
        <v>172</v>
      </c>
      <c r="M1245" t="s">
        <v>6</v>
      </c>
    </row>
    <row r="1246" spans="1:13" x14ac:dyDescent="0.25">
      <c r="A1246" s="3" t="s">
        <v>171</v>
      </c>
      <c r="B1246" s="4">
        <v>6</v>
      </c>
      <c r="C1246" s="4"/>
      <c r="D1246" s="4" t="s">
        <v>172</v>
      </c>
      <c r="E1246" s="4" t="s">
        <v>6</v>
      </c>
      <c r="F1246">
        <f>COUNTIFS($D$2:D1246,D1246)</f>
        <v>6</v>
      </c>
      <c r="G1246" t="str">
        <f t="shared" si="19"/>
        <v>3871J</v>
      </c>
      <c r="H1246">
        <v>5.4671750000000001</v>
      </c>
      <c r="I1246">
        <v>52.169687500000002</v>
      </c>
      <c r="J1246" t="s">
        <v>508</v>
      </c>
      <c r="K1246" t="s">
        <v>262</v>
      </c>
      <c r="L1246" t="s">
        <v>172</v>
      </c>
      <c r="M1246" t="s">
        <v>6</v>
      </c>
    </row>
    <row r="1247" spans="1:13" x14ac:dyDescent="0.25">
      <c r="A1247" s="3" t="s">
        <v>171</v>
      </c>
      <c r="B1247" s="4">
        <v>7</v>
      </c>
      <c r="C1247" s="4"/>
      <c r="D1247" s="4" t="s">
        <v>172</v>
      </c>
      <c r="E1247" s="4" t="s">
        <v>6</v>
      </c>
      <c r="F1247">
        <f>COUNTIFS($D$2:D1247,D1247)</f>
        <v>7</v>
      </c>
      <c r="G1247" t="str">
        <f t="shared" si="19"/>
        <v>3871J</v>
      </c>
      <c r="H1247">
        <v>5.4676729000000002</v>
      </c>
      <c r="I1247">
        <v>52.170190499999997</v>
      </c>
      <c r="J1247" t="s">
        <v>508</v>
      </c>
      <c r="K1247" t="s">
        <v>358</v>
      </c>
      <c r="L1247" t="s">
        <v>172</v>
      </c>
      <c r="M1247" t="s">
        <v>6</v>
      </c>
    </row>
    <row r="1248" spans="1:13" x14ac:dyDescent="0.25">
      <c r="A1248" s="3" t="s">
        <v>171</v>
      </c>
      <c r="B1248" s="4">
        <v>8</v>
      </c>
      <c r="C1248" s="4"/>
      <c r="D1248" s="4" t="s">
        <v>172</v>
      </c>
      <c r="E1248" s="4" t="s">
        <v>6</v>
      </c>
      <c r="F1248">
        <f>COUNTIFS($D$2:D1248,D1248)</f>
        <v>8</v>
      </c>
      <c r="G1248" t="str">
        <f t="shared" si="19"/>
        <v>3871J</v>
      </c>
      <c r="H1248">
        <v>5.4671894999999999</v>
      </c>
      <c r="I1248">
        <v>52.169633599999997</v>
      </c>
      <c r="J1248" t="s">
        <v>508</v>
      </c>
      <c r="K1248" t="s">
        <v>263</v>
      </c>
      <c r="L1248" t="s">
        <v>172</v>
      </c>
      <c r="M1248" t="s">
        <v>6</v>
      </c>
    </row>
    <row r="1249" spans="1:13" x14ac:dyDescent="0.25">
      <c r="A1249" s="3" t="s">
        <v>171</v>
      </c>
      <c r="B1249" s="4">
        <v>9</v>
      </c>
      <c r="C1249" s="4"/>
      <c r="D1249" s="4" t="s">
        <v>172</v>
      </c>
      <c r="E1249" s="4" t="s">
        <v>6</v>
      </c>
      <c r="F1249">
        <f>COUNTIFS($D$2:D1249,D1249)</f>
        <v>9</v>
      </c>
      <c r="G1249" t="str">
        <f t="shared" si="19"/>
        <v>3871J</v>
      </c>
      <c r="H1249">
        <v>5.4676874</v>
      </c>
      <c r="I1249">
        <v>52.170091599999999</v>
      </c>
      <c r="J1249" t="s">
        <v>508</v>
      </c>
      <c r="K1249" t="s">
        <v>382</v>
      </c>
      <c r="L1249" t="s">
        <v>172</v>
      </c>
      <c r="M1249" t="s">
        <v>6</v>
      </c>
    </row>
    <row r="1250" spans="1:13" x14ac:dyDescent="0.25">
      <c r="A1250" s="3" t="s">
        <v>171</v>
      </c>
      <c r="B1250" s="4">
        <v>10</v>
      </c>
      <c r="C1250" s="4"/>
      <c r="D1250" s="4" t="s">
        <v>172</v>
      </c>
      <c r="E1250" s="4" t="s">
        <v>6</v>
      </c>
      <c r="F1250">
        <f>COUNTIFS($D$2:D1250,D1250)</f>
        <v>10</v>
      </c>
      <c r="G1250" t="str">
        <f t="shared" si="19"/>
        <v>3871J</v>
      </c>
      <c r="H1250">
        <v>5.4671747999999996</v>
      </c>
      <c r="I1250">
        <v>52.1695797</v>
      </c>
      <c r="J1250" t="s">
        <v>508</v>
      </c>
      <c r="K1250" t="s">
        <v>264</v>
      </c>
      <c r="L1250" t="s">
        <v>172</v>
      </c>
      <c r="M1250" t="s">
        <v>6</v>
      </c>
    </row>
    <row r="1251" spans="1:13" x14ac:dyDescent="0.25">
      <c r="A1251" s="3" t="s">
        <v>171</v>
      </c>
      <c r="B1251" s="4">
        <v>11</v>
      </c>
      <c r="C1251" s="4"/>
      <c r="D1251" s="4" t="s">
        <v>172</v>
      </c>
      <c r="E1251" s="4" t="s">
        <v>6</v>
      </c>
      <c r="F1251">
        <f>COUNTIFS($D$2:D1251,D1251)</f>
        <v>11</v>
      </c>
      <c r="G1251" t="str">
        <f t="shared" si="19"/>
        <v>3871J</v>
      </c>
      <c r="H1251">
        <v>5.4676726000000002</v>
      </c>
      <c r="I1251">
        <v>52.1700108</v>
      </c>
      <c r="J1251" t="s">
        <v>508</v>
      </c>
      <c r="K1251" t="s">
        <v>391</v>
      </c>
      <c r="L1251" t="s">
        <v>172</v>
      </c>
      <c r="M1251" t="s">
        <v>6</v>
      </c>
    </row>
    <row r="1252" spans="1:13" x14ac:dyDescent="0.25">
      <c r="A1252" s="3" t="s">
        <v>171</v>
      </c>
      <c r="B1252" s="4">
        <v>12</v>
      </c>
      <c r="C1252" s="4"/>
      <c r="D1252" s="4" t="s">
        <v>172</v>
      </c>
      <c r="E1252" s="4" t="s">
        <v>6</v>
      </c>
      <c r="F1252">
        <f>COUNTIFS($D$2:D1252,D1252)</f>
        <v>12</v>
      </c>
      <c r="G1252" t="str">
        <f t="shared" si="19"/>
        <v>3871J</v>
      </c>
      <c r="H1252">
        <v>5.4671893999999996</v>
      </c>
      <c r="I1252">
        <v>52.1695347</v>
      </c>
      <c r="J1252" t="s">
        <v>508</v>
      </c>
      <c r="K1252" t="s">
        <v>265</v>
      </c>
      <c r="L1252" t="s">
        <v>172</v>
      </c>
      <c r="M1252" t="s">
        <v>6</v>
      </c>
    </row>
    <row r="1253" spans="1:13" x14ac:dyDescent="0.25">
      <c r="A1253" s="3" t="s">
        <v>171</v>
      </c>
      <c r="B1253" s="4">
        <v>13</v>
      </c>
      <c r="C1253" s="4"/>
      <c r="D1253" s="4" t="s">
        <v>172</v>
      </c>
      <c r="E1253" s="4" t="s">
        <v>6</v>
      </c>
      <c r="F1253">
        <f>COUNTIFS($D$2:D1253,D1253)</f>
        <v>13</v>
      </c>
      <c r="G1253" t="str">
        <f t="shared" si="19"/>
        <v>3871J</v>
      </c>
      <c r="H1253">
        <v>5.4676724999999999</v>
      </c>
      <c r="I1253">
        <v>52.1699658</v>
      </c>
      <c r="J1253" t="s">
        <v>508</v>
      </c>
      <c r="K1253" t="s">
        <v>359</v>
      </c>
      <c r="L1253" t="s">
        <v>172</v>
      </c>
      <c r="M1253" t="s">
        <v>6</v>
      </c>
    </row>
    <row r="1254" spans="1:13" x14ac:dyDescent="0.25">
      <c r="A1254" s="3" t="s">
        <v>171</v>
      </c>
      <c r="B1254" s="4">
        <v>14</v>
      </c>
      <c r="C1254" s="4"/>
      <c r="D1254" s="4" t="s">
        <v>172</v>
      </c>
      <c r="E1254" s="4" t="s">
        <v>6</v>
      </c>
      <c r="F1254">
        <f>COUNTIFS($D$2:D1254,D1254)</f>
        <v>14</v>
      </c>
      <c r="G1254" t="str">
        <f t="shared" si="19"/>
        <v>3871J</v>
      </c>
      <c r="H1254">
        <v>5.4672459</v>
      </c>
      <c r="I1254">
        <v>52.169425599999997</v>
      </c>
      <c r="J1254" t="s">
        <v>508</v>
      </c>
      <c r="K1254" t="s">
        <v>266</v>
      </c>
      <c r="L1254" t="s">
        <v>172</v>
      </c>
      <c r="M1254" t="s">
        <v>6</v>
      </c>
    </row>
    <row r="1255" spans="1:13" x14ac:dyDescent="0.25">
      <c r="A1255" s="3" t="s">
        <v>171</v>
      </c>
      <c r="B1255" s="4">
        <v>15</v>
      </c>
      <c r="C1255" s="4"/>
      <c r="D1255" s="4" t="s">
        <v>172</v>
      </c>
      <c r="E1255" s="4" t="s">
        <v>6</v>
      </c>
      <c r="F1255">
        <f>COUNTIFS($D$2:D1255,D1255)</f>
        <v>15</v>
      </c>
      <c r="G1255" t="str">
        <f t="shared" si="19"/>
        <v>3871J</v>
      </c>
      <c r="H1255">
        <v>5.4676869999999997</v>
      </c>
      <c r="I1255">
        <v>52.169911900000002</v>
      </c>
      <c r="J1255" t="s">
        <v>508</v>
      </c>
      <c r="K1255" t="s">
        <v>383</v>
      </c>
      <c r="L1255" t="s">
        <v>172</v>
      </c>
      <c r="M1255" t="s">
        <v>6</v>
      </c>
    </row>
    <row r="1256" spans="1:13" x14ac:dyDescent="0.25">
      <c r="A1256" s="3" t="s">
        <v>171</v>
      </c>
      <c r="B1256" s="4">
        <v>16</v>
      </c>
      <c r="C1256" s="4"/>
      <c r="D1256" s="4" t="s">
        <v>172</v>
      </c>
      <c r="E1256" s="4" t="s">
        <v>6</v>
      </c>
      <c r="F1256">
        <f>COUNTIFS($D$2:D1256,D1256)</f>
        <v>16</v>
      </c>
      <c r="G1256" t="str">
        <f t="shared" si="19"/>
        <v>3871J</v>
      </c>
      <c r="H1256">
        <v>5.4672505999999998</v>
      </c>
      <c r="I1256">
        <v>52.169372099999997</v>
      </c>
      <c r="J1256" t="s">
        <v>508</v>
      </c>
      <c r="K1256" t="s">
        <v>371</v>
      </c>
      <c r="L1256" t="s">
        <v>172</v>
      </c>
      <c r="M1256" t="s">
        <v>6</v>
      </c>
    </row>
    <row r="1257" spans="1:13" x14ac:dyDescent="0.25">
      <c r="A1257" s="3" t="s">
        <v>171</v>
      </c>
      <c r="B1257" s="4">
        <v>17</v>
      </c>
      <c r="C1257" s="4"/>
      <c r="D1257" s="4" t="s">
        <v>172</v>
      </c>
      <c r="E1257" s="4" t="s">
        <v>6</v>
      </c>
      <c r="F1257">
        <f>COUNTIFS($D$2:D1257,D1257)</f>
        <v>17</v>
      </c>
      <c r="G1257" t="str">
        <f t="shared" si="19"/>
        <v>3871J</v>
      </c>
      <c r="H1257">
        <v>5.4676869000000003</v>
      </c>
      <c r="I1257">
        <v>52.169857999999998</v>
      </c>
      <c r="J1257" t="s">
        <v>508</v>
      </c>
      <c r="K1257" t="s">
        <v>360</v>
      </c>
      <c r="L1257" t="s">
        <v>172</v>
      </c>
      <c r="M1257" t="s">
        <v>6</v>
      </c>
    </row>
    <row r="1258" spans="1:13" x14ac:dyDescent="0.25">
      <c r="A1258" s="3" t="s">
        <v>171</v>
      </c>
      <c r="B1258" s="4">
        <v>18</v>
      </c>
      <c r="C1258" s="4"/>
      <c r="D1258" s="4" t="s">
        <v>172</v>
      </c>
      <c r="E1258" s="4" t="s">
        <v>6</v>
      </c>
      <c r="F1258">
        <f>COUNTIFS($D$2:D1258,D1258)</f>
        <v>18</v>
      </c>
      <c r="G1258" t="str">
        <f t="shared" si="19"/>
        <v>3871J</v>
      </c>
      <c r="H1258">
        <v>5.4672552999999997</v>
      </c>
      <c r="I1258">
        <v>52.169318599999997</v>
      </c>
      <c r="J1258" t="s">
        <v>508</v>
      </c>
      <c r="K1258" t="s">
        <v>267</v>
      </c>
      <c r="L1258" t="s">
        <v>172</v>
      </c>
      <c r="M1258" t="s">
        <v>6</v>
      </c>
    </row>
    <row r="1259" spans="1:13" x14ac:dyDescent="0.25">
      <c r="A1259" s="3" t="s">
        <v>171</v>
      </c>
      <c r="B1259" s="4">
        <v>19</v>
      </c>
      <c r="C1259" s="4"/>
      <c r="D1259" s="4" t="s">
        <v>172</v>
      </c>
      <c r="E1259" s="4" t="s">
        <v>6</v>
      </c>
      <c r="F1259">
        <f>COUNTIFS($D$2:D1259,D1259)</f>
        <v>19</v>
      </c>
      <c r="G1259" t="str">
        <f t="shared" si="19"/>
        <v>3871J</v>
      </c>
      <c r="H1259">
        <v>5.4676868000000001</v>
      </c>
      <c r="I1259">
        <v>52.169795000000001</v>
      </c>
      <c r="J1259" t="s">
        <v>508</v>
      </c>
      <c r="K1259" t="s">
        <v>361</v>
      </c>
      <c r="L1259" t="s">
        <v>172</v>
      </c>
      <c r="M1259" t="s">
        <v>6</v>
      </c>
    </row>
    <row r="1260" spans="1:13" x14ac:dyDescent="0.25">
      <c r="A1260" s="3" t="s">
        <v>171</v>
      </c>
      <c r="B1260" s="4">
        <v>20</v>
      </c>
      <c r="C1260" s="4"/>
      <c r="D1260" s="4" t="s">
        <v>172</v>
      </c>
      <c r="E1260" s="4" t="s">
        <v>6</v>
      </c>
      <c r="F1260">
        <f>COUNTIFS($D$2:D1260,D1260)</f>
        <v>20</v>
      </c>
      <c r="G1260" t="str">
        <f t="shared" si="19"/>
        <v>3871J</v>
      </c>
      <c r="H1260">
        <v>5.4672599999999996</v>
      </c>
      <c r="I1260">
        <v>52.169265099999997</v>
      </c>
      <c r="J1260" t="s">
        <v>508</v>
      </c>
      <c r="K1260" t="s">
        <v>372</v>
      </c>
      <c r="L1260" t="s">
        <v>172</v>
      </c>
      <c r="M1260" t="s">
        <v>6</v>
      </c>
    </row>
    <row r="1261" spans="1:13" x14ac:dyDescent="0.25">
      <c r="A1261" s="3" t="s">
        <v>173</v>
      </c>
      <c r="B1261" s="4">
        <v>1</v>
      </c>
      <c r="C1261" s="4"/>
      <c r="D1261" s="4" t="s">
        <v>174</v>
      </c>
      <c r="E1261" s="4" t="s">
        <v>6</v>
      </c>
      <c r="F1261">
        <f>COUNTIFS($D$2:D1261,D1261)</f>
        <v>1</v>
      </c>
      <c r="G1261" t="str">
        <f t="shared" si="19"/>
        <v>3871J</v>
      </c>
      <c r="H1261">
        <v>5.4682702000000001</v>
      </c>
      <c r="I1261">
        <v>52.169518699999998</v>
      </c>
      <c r="J1261" t="s">
        <v>509</v>
      </c>
      <c r="K1261" t="s">
        <v>355</v>
      </c>
      <c r="L1261" t="s">
        <v>174</v>
      </c>
      <c r="M1261" t="s">
        <v>6</v>
      </c>
    </row>
    <row r="1262" spans="1:13" x14ac:dyDescent="0.25">
      <c r="A1262" s="3" t="s">
        <v>173</v>
      </c>
      <c r="B1262" s="4">
        <v>2</v>
      </c>
      <c r="C1262" s="4"/>
      <c r="D1262" s="4" t="s">
        <v>174</v>
      </c>
      <c r="E1262" s="4" t="s">
        <v>6</v>
      </c>
      <c r="F1262">
        <f>COUNTIFS($D$2:D1262,D1262)</f>
        <v>2</v>
      </c>
      <c r="G1262" t="str">
        <f t="shared" si="19"/>
        <v>3871J</v>
      </c>
      <c r="H1262">
        <v>5.4681917000000002</v>
      </c>
      <c r="I1262">
        <v>52.169505000000001</v>
      </c>
      <c r="J1262" t="s">
        <v>509</v>
      </c>
      <c r="K1262" t="s">
        <v>370</v>
      </c>
      <c r="L1262" t="s">
        <v>174</v>
      </c>
      <c r="M1262" t="s">
        <v>6</v>
      </c>
    </row>
    <row r="1263" spans="1:13" x14ac:dyDescent="0.25">
      <c r="A1263" s="3" t="s">
        <v>173</v>
      </c>
      <c r="B1263" s="4">
        <v>3</v>
      </c>
      <c r="C1263" s="4"/>
      <c r="D1263" s="4" t="s">
        <v>174</v>
      </c>
      <c r="E1263" s="4" t="s">
        <v>6</v>
      </c>
      <c r="F1263">
        <f>COUNTIFS($D$2:D1263,D1263)</f>
        <v>3</v>
      </c>
      <c r="G1263" t="str">
        <f t="shared" si="19"/>
        <v>3871J</v>
      </c>
      <c r="H1263">
        <v>5.4681037999999997</v>
      </c>
      <c r="I1263">
        <v>52.1695651</v>
      </c>
      <c r="J1263" t="s">
        <v>509</v>
      </c>
      <c r="K1263" t="s">
        <v>356</v>
      </c>
      <c r="L1263" t="s">
        <v>174</v>
      </c>
      <c r="M1263" t="s">
        <v>6</v>
      </c>
    </row>
    <row r="1264" spans="1:13" x14ac:dyDescent="0.25">
      <c r="A1264" s="3" t="s">
        <v>173</v>
      </c>
      <c r="B1264" s="4">
        <v>4</v>
      </c>
      <c r="C1264" s="4"/>
      <c r="D1264" s="4" t="s">
        <v>174</v>
      </c>
      <c r="E1264" s="4" t="s">
        <v>6</v>
      </c>
      <c r="F1264">
        <f>COUNTIFS($D$2:D1264,D1264)</f>
        <v>4</v>
      </c>
      <c r="G1264" t="str">
        <f t="shared" si="19"/>
        <v>3871J</v>
      </c>
      <c r="H1264">
        <v>5.4680077000000002</v>
      </c>
      <c r="I1264">
        <v>52.169553000000001</v>
      </c>
      <c r="J1264" t="s">
        <v>509</v>
      </c>
      <c r="K1264" t="s">
        <v>260</v>
      </c>
      <c r="L1264" t="s">
        <v>174</v>
      </c>
      <c r="M1264" t="s">
        <v>6</v>
      </c>
    </row>
    <row r="1265" spans="1:13" x14ac:dyDescent="0.25">
      <c r="A1265" s="3" t="s">
        <v>173</v>
      </c>
      <c r="B1265" s="4">
        <v>5</v>
      </c>
      <c r="C1265" s="4"/>
      <c r="D1265" s="4" t="s">
        <v>174</v>
      </c>
      <c r="E1265" s="4" t="s">
        <v>6</v>
      </c>
      <c r="F1265">
        <f>COUNTIFS($D$2:D1265,D1265)</f>
        <v>5</v>
      </c>
      <c r="G1265" t="str">
        <f t="shared" si="19"/>
        <v>3871J</v>
      </c>
      <c r="H1265">
        <v>5.4679389</v>
      </c>
      <c r="I1265">
        <v>52.1695414</v>
      </c>
      <c r="J1265" t="s">
        <v>509</v>
      </c>
      <c r="K1265" t="s">
        <v>357</v>
      </c>
      <c r="L1265" t="s">
        <v>174</v>
      </c>
      <c r="M1265" t="s">
        <v>6</v>
      </c>
    </row>
    <row r="1266" spans="1:13" x14ac:dyDescent="0.25">
      <c r="A1266" s="3" t="s">
        <v>173</v>
      </c>
      <c r="B1266" s="4">
        <v>6</v>
      </c>
      <c r="C1266" s="4"/>
      <c r="D1266" s="4" t="s">
        <v>174</v>
      </c>
      <c r="E1266" s="4" t="s">
        <v>6</v>
      </c>
      <c r="F1266">
        <f>COUNTIFS($D$2:D1266,D1266)</f>
        <v>6</v>
      </c>
      <c r="G1266" t="str">
        <f t="shared" si="19"/>
        <v>3871J</v>
      </c>
      <c r="H1266">
        <v>5.4678427999999997</v>
      </c>
      <c r="I1266">
        <v>52.169528100000001</v>
      </c>
      <c r="J1266" t="s">
        <v>509</v>
      </c>
      <c r="K1266" t="s">
        <v>262</v>
      </c>
      <c r="L1266" t="s">
        <v>174</v>
      </c>
      <c r="M1266" t="s">
        <v>6</v>
      </c>
    </row>
    <row r="1267" spans="1:13" x14ac:dyDescent="0.25">
      <c r="A1267" s="3" t="s">
        <v>173</v>
      </c>
      <c r="B1267" s="4">
        <v>7</v>
      </c>
      <c r="C1267" s="4"/>
      <c r="D1267" s="4" t="s">
        <v>174</v>
      </c>
      <c r="E1267" s="4" t="s">
        <v>6</v>
      </c>
      <c r="F1267">
        <f>COUNTIFS($D$2:D1267,D1267)</f>
        <v>7</v>
      </c>
      <c r="G1267" t="str">
        <f t="shared" si="19"/>
        <v>3871J</v>
      </c>
      <c r="H1267">
        <v>5.4677626000000004</v>
      </c>
      <c r="I1267">
        <v>52.169511399999998</v>
      </c>
      <c r="J1267" t="s">
        <v>509</v>
      </c>
      <c r="K1267" t="s">
        <v>358</v>
      </c>
      <c r="L1267" t="s">
        <v>174</v>
      </c>
      <c r="M1267" t="s">
        <v>6</v>
      </c>
    </row>
    <row r="1268" spans="1:13" x14ac:dyDescent="0.25">
      <c r="A1268" s="3" t="s">
        <v>173</v>
      </c>
      <c r="B1268" s="4">
        <v>8</v>
      </c>
      <c r="C1268" s="4"/>
      <c r="D1268" s="4" t="s">
        <v>174</v>
      </c>
      <c r="E1268" s="4" t="s">
        <v>6</v>
      </c>
      <c r="F1268">
        <f>COUNTIFS($D$2:D1268,D1268)</f>
        <v>8</v>
      </c>
      <c r="G1268" t="str">
        <f t="shared" si="19"/>
        <v>3871J</v>
      </c>
      <c r="H1268">
        <v>5.4676815999999997</v>
      </c>
      <c r="I1268">
        <v>52.169494100000001</v>
      </c>
      <c r="J1268" t="s">
        <v>509</v>
      </c>
      <c r="K1268" t="s">
        <v>263</v>
      </c>
      <c r="L1268" t="s">
        <v>174</v>
      </c>
      <c r="M1268" t="s">
        <v>6</v>
      </c>
    </row>
    <row r="1269" spans="1:13" x14ac:dyDescent="0.25">
      <c r="A1269" s="3" t="s">
        <v>175</v>
      </c>
      <c r="B1269" s="4">
        <v>1</v>
      </c>
      <c r="C1269" s="4"/>
      <c r="D1269" s="4" t="s">
        <v>176</v>
      </c>
      <c r="E1269" s="4" t="s">
        <v>6</v>
      </c>
      <c r="F1269">
        <f>COUNTIFS($D$2:D1269,D1269)</f>
        <v>1</v>
      </c>
      <c r="G1269" t="str">
        <f t="shared" si="19"/>
        <v>3871J</v>
      </c>
      <c r="H1269">
        <v>5.4661289000000002</v>
      </c>
      <c r="I1269">
        <v>52.169212600000002</v>
      </c>
      <c r="J1269" t="s">
        <v>510</v>
      </c>
      <c r="K1269" t="s">
        <v>355</v>
      </c>
      <c r="L1269" t="s">
        <v>176</v>
      </c>
      <c r="M1269" t="s">
        <v>6</v>
      </c>
    </row>
    <row r="1270" spans="1:13" x14ac:dyDescent="0.25">
      <c r="A1270" s="3" t="s">
        <v>175</v>
      </c>
      <c r="B1270" s="4">
        <v>2</v>
      </c>
      <c r="C1270" s="4"/>
      <c r="D1270" s="4" t="s">
        <v>176</v>
      </c>
      <c r="E1270" s="4" t="s">
        <v>6</v>
      </c>
      <c r="F1270">
        <f>COUNTIFS($D$2:D1270,D1270)</f>
        <v>2</v>
      </c>
      <c r="G1270" t="str">
        <f t="shared" si="19"/>
        <v>3871J</v>
      </c>
      <c r="H1270">
        <v>5.4662262000000004</v>
      </c>
      <c r="I1270">
        <v>52.169227200000002</v>
      </c>
      <c r="J1270" t="s">
        <v>510</v>
      </c>
      <c r="K1270" t="s">
        <v>370</v>
      </c>
      <c r="L1270" t="s">
        <v>176</v>
      </c>
      <c r="M1270" t="s">
        <v>6</v>
      </c>
    </row>
    <row r="1271" spans="1:13" x14ac:dyDescent="0.25">
      <c r="A1271" s="3" t="s">
        <v>175</v>
      </c>
      <c r="B1271" s="4">
        <v>3</v>
      </c>
      <c r="C1271" s="4"/>
      <c r="D1271" s="4" t="s">
        <v>176</v>
      </c>
      <c r="E1271" s="4" t="s">
        <v>6</v>
      </c>
      <c r="F1271">
        <f>COUNTIFS($D$2:D1271,D1271)</f>
        <v>3</v>
      </c>
      <c r="G1271" t="str">
        <f t="shared" si="19"/>
        <v>3871J</v>
      </c>
      <c r="H1271">
        <v>5.4663158999999997</v>
      </c>
      <c r="I1271">
        <v>52.169241399999997</v>
      </c>
      <c r="J1271" t="s">
        <v>510</v>
      </c>
      <c r="K1271" t="s">
        <v>356</v>
      </c>
      <c r="L1271" t="s">
        <v>176</v>
      </c>
      <c r="M1271" t="s">
        <v>6</v>
      </c>
    </row>
    <row r="1272" spans="1:13" x14ac:dyDescent="0.25">
      <c r="A1272" s="3" t="s">
        <v>175</v>
      </c>
      <c r="B1272" s="4">
        <v>4</v>
      </c>
      <c r="C1272" s="4"/>
      <c r="D1272" s="4" t="s">
        <v>176</v>
      </c>
      <c r="E1272" s="4" t="s">
        <v>6</v>
      </c>
      <c r="F1272">
        <f>COUNTIFS($D$2:D1272,D1272)</f>
        <v>4</v>
      </c>
      <c r="G1272" t="str">
        <f t="shared" si="19"/>
        <v>3871J</v>
      </c>
      <c r="H1272">
        <v>5.4664061999999998</v>
      </c>
      <c r="I1272">
        <v>52.169254600000002</v>
      </c>
      <c r="J1272" t="s">
        <v>510</v>
      </c>
      <c r="K1272" t="s">
        <v>260</v>
      </c>
      <c r="L1272" t="s">
        <v>176</v>
      </c>
      <c r="M1272" t="s">
        <v>6</v>
      </c>
    </row>
    <row r="1273" spans="1:13" x14ac:dyDescent="0.25">
      <c r="A1273" s="3" t="s">
        <v>175</v>
      </c>
      <c r="B1273" s="4">
        <v>5</v>
      </c>
      <c r="C1273" s="4"/>
      <c r="D1273" s="4" t="s">
        <v>176</v>
      </c>
      <c r="E1273" s="4" t="s">
        <v>6</v>
      </c>
      <c r="F1273">
        <f>COUNTIFS($D$2:D1273,D1273)</f>
        <v>5</v>
      </c>
      <c r="G1273" t="str">
        <f t="shared" si="19"/>
        <v>3871J</v>
      </c>
      <c r="H1273">
        <v>5.4665635000000004</v>
      </c>
      <c r="I1273">
        <v>52.169265799999998</v>
      </c>
      <c r="J1273" t="s">
        <v>510</v>
      </c>
      <c r="K1273" t="s">
        <v>357</v>
      </c>
      <c r="L1273" t="s">
        <v>176</v>
      </c>
      <c r="M1273" t="s">
        <v>6</v>
      </c>
    </row>
    <row r="1274" spans="1:13" x14ac:dyDescent="0.25">
      <c r="A1274" s="3" t="s">
        <v>175</v>
      </c>
      <c r="B1274" s="4">
        <v>6</v>
      </c>
      <c r="C1274" s="4"/>
      <c r="D1274" s="4" t="s">
        <v>176</v>
      </c>
      <c r="E1274" s="4" t="s">
        <v>6</v>
      </c>
      <c r="F1274">
        <f>COUNTIFS($D$2:D1274,D1274)</f>
        <v>6</v>
      </c>
      <c r="G1274" t="str">
        <f t="shared" si="19"/>
        <v>3871J</v>
      </c>
      <c r="H1274">
        <v>5.4666541999999998</v>
      </c>
      <c r="I1274">
        <v>52.169276099999998</v>
      </c>
      <c r="J1274" t="s">
        <v>510</v>
      </c>
      <c r="K1274" t="s">
        <v>262</v>
      </c>
      <c r="L1274" t="s">
        <v>176</v>
      </c>
      <c r="M1274" t="s">
        <v>6</v>
      </c>
    </row>
    <row r="1275" spans="1:13" x14ac:dyDescent="0.25">
      <c r="A1275" s="3" t="s">
        <v>175</v>
      </c>
      <c r="B1275" s="4">
        <v>7</v>
      </c>
      <c r="C1275" s="4"/>
      <c r="D1275" s="4" t="s">
        <v>176</v>
      </c>
      <c r="E1275" s="4" t="s">
        <v>6</v>
      </c>
      <c r="F1275">
        <f>COUNTIFS($D$2:D1275,D1275)</f>
        <v>7</v>
      </c>
      <c r="G1275" t="str">
        <f t="shared" si="19"/>
        <v>3871J</v>
      </c>
      <c r="H1275">
        <v>5.4667474</v>
      </c>
      <c r="I1275">
        <v>52.1692879</v>
      </c>
      <c r="J1275" t="s">
        <v>510</v>
      </c>
      <c r="K1275" t="s">
        <v>358</v>
      </c>
      <c r="L1275" t="s">
        <v>176</v>
      </c>
      <c r="M1275" t="s">
        <v>6</v>
      </c>
    </row>
    <row r="1276" spans="1:13" x14ac:dyDescent="0.25">
      <c r="A1276" s="3" t="s">
        <v>175</v>
      </c>
      <c r="B1276" s="4">
        <v>8</v>
      </c>
      <c r="C1276" s="4"/>
      <c r="D1276" s="4" t="s">
        <v>176</v>
      </c>
      <c r="E1276" s="4" t="s">
        <v>6</v>
      </c>
      <c r="F1276">
        <f>COUNTIFS($D$2:D1276,D1276)</f>
        <v>8</v>
      </c>
      <c r="G1276" t="str">
        <f t="shared" si="19"/>
        <v>3871J</v>
      </c>
      <c r="H1276">
        <v>5.4668381000000004</v>
      </c>
      <c r="I1276">
        <v>52.169230499999998</v>
      </c>
      <c r="J1276" t="s">
        <v>510</v>
      </c>
      <c r="K1276" t="s">
        <v>263</v>
      </c>
      <c r="L1276" t="s">
        <v>176</v>
      </c>
      <c r="M1276" t="s">
        <v>6</v>
      </c>
    </row>
    <row r="1277" spans="1:13" x14ac:dyDescent="0.25">
      <c r="A1277" s="3" t="s">
        <v>177</v>
      </c>
      <c r="B1277" s="4">
        <v>2</v>
      </c>
      <c r="C1277" s="4"/>
      <c r="D1277" s="4" t="s">
        <v>178</v>
      </c>
      <c r="E1277" s="4" t="s">
        <v>6</v>
      </c>
      <c r="F1277">
        <f>COUNTIFS($D$2:D1277,D1277)</f>
        <v>1</v>
      </c>
      <c r="G1277" t="str">
        <f t="shared" si="19"/>
        <v>3871J</v>
      </c>
      <c r="H1277">
        <v>5.4572646999999996</v>
      </c>
      <c r="I1277">
        <v>52.169810699999999</v>
      </c>
      <c r="J1277" t="s">
        <v>511</v>
      </c>
      <c r="K1277" t="s">
        <v>370</v>
      </c>
      <c r="L1277" t="s">
        <v>178</v>
      </c>
      <c r="M1277" t="s">
        <v>6</v>
      </c>
    </row>
    <row r="1278" spans="1:13" x14ac:dyDescent="0.25">
      <c r="A1278" s="3" t="s">
        <v>177</v>
      </c>
      <c r="B1278" s="4">
        <v>4</v>
      </c>
      <c r="C1278" s="4"/>
      <c r="D1278" s="4" t="s">
        <v>178</v>
      </c>
      <c r="E1278" s="4" t="s">
        <v>6</v>
      </c>
      <c r="F1278">
        <f>COUNTIFS($D$2:D1278,D1278)</f>
        <v>2</v>
      </c>
      <c r="G1278" t="str">
        <f t="shared" si="19"/>
        <v>3871J</v>
      </c>
      <c r="H1278">
        <v>5.4570452999999999</v>
      </c>
      <c r="I1278">
        <v>52.169765900000002</v>
      </c>
      <c r="J1278" t="s">
        <v>511</v>
      </c>
      <c r="K1278" t="s">
        <v>260</v>
      </c>
      <c r="L1278" t="s">
        <v>178</v>
      </c>
      <c r="M1278" t="s">
        <v>6</v>
      </c>
    </row>
    <row r="1279" spans="1:13" x14ac:dyDescent="0.25">
      <c r="A1279" s="3" t="s">
        <v>179</v>
      </c>
      <c r="B1279" s="4">
        <v>1</v>
      </c>
      <c r="C1279" s="4"/>
      <c r="D1279" s="4" t="s">
        <v>180</v>
      </c>
      <c r="E1279" s="4" t="s">
        <v>6</v>
      </c>
      <c r="F1279">
        <f>COUNTIFS($D$2:D1279,D1279)</f>
        <v>1</v>
      </c>
      <c r="G1279" t="str">
        <f t="shared" si="19"/>
        <v>3871K</v>
      </c>
      <c r="H1279">
        <v>5.4688654000000003</v>
      </c>
      <c r="I1279">
        <v>52.174791499999998</v>
      </c>
      <c r="J1279" t="s">
        <v>512</v>
      </c>
      <c r="K1279" t="s">
        <v>355</v>
      </c>
      <c r="L1279" t="s">
        <v>180</v>
      </c>
      <c r="M1279" t="s">
        <v>6</v>
      </c>
    </row>
    <row r="1280" spans="1:13" x14ac:dyDescent="0.25">
      <c r="A1280" s="3" t="s">
        <v>179</v>
      </c>
      <c r="B1280" s="4">
        <v>2</v>
      </c>
      <c r="C1280" s="4" t="s">
        <v>8</v>
      </c>
      <c r="D1280" s="4" t="s">
        <v>180</v>
      </c>
      <c r="E1280" s="4" t="s">
        <v>6</v>
      </c>
      <c r="F1280">
        <f>COUNTIFS($D$2:D1280,D1280)</f>
        <v>2</v>
      </c>
      <c r="G1280" t="str">
        <f t="shared" si="19"/>
        <v>3871K</v>
      </c>
      <c r="H1280">
        <v>5.4686085000000002</v>
      </c>
      <c r="I1280">
        <v>52.170243800000001</v>
      </c>
      <c r="J1280" t="s">
        <v>512</v>
      </c>
      <c r="K1280" t="s">
        <v>258</v>
      </c>
      <c r="L1280" t="s">
        <v>180</v>
      </c>
      <c r="M1280" t="s">
        <v>6</v>
      </c>
    </row>
    <row r="1281" spans="1:13" x14ac:dyDescent="0.25">
      <c r="A1281" s="3" t="s">
        <v>179</v>
      </c>
      <c r="B1281" s="4">
        <v>2</v>
      </c>
      <c r="C1281" s="4"/>
      <c r="D1281" s="4" t="s">
        <v>180</v>
      </c>
      <c r="E1281" s="4" t="s">
        <v>6</v>
      </c>
      <c r="F1281">
        <f>COUNTIFS($D$2:D1281,D1281)</f>
        <v>3</v>
      </c>
      <c r="G1281" t="str">
        <f t="shared" si="19"/>
        <v>3871K</v>
      </c>
      <c r="H1281">
        <v>5.4685940999999998</v>
      </c>
      <c r="I1281">
        <v>52.170360700000003</v>
      </c>
      <c r="J1281" t="s">
        <v>512</v>
      </c>
      <c r="K1281" t="s">
        <v>370</v>
      </c>
      <c r="L1281" t="s">
        <v>180</v>
      </c>
      <c r="M1281" t="s">
        <v>6</v>
      </c>
    </row>
    <row r="1282" spans="1:13" x14ac:dyDescent="0.25">
      <c r="A1282" s="3" t="s">
        <v>179</v>
      </c>
      <c r="B1282" s="4">
        <v>3</v>
      </c>
      <c r="C1282" s="4"/>
      <c r="D1282" s="4" t="s">
        <v>180</v>
      </c>
      <c r="E1282" s="4" t="s">
        <v>6</v>
      </c>
      <c r="F1282">
        <f>COUNTIFS($D$2:D1282,D1282)</f>
        <v>4</v>
      </c>
      <c r="G1282" t="str">
        <f t="shared" ref="G1282:G1345" si="20">LEFT(A1282,5)</f>
        <v>3871K</v>
      </c>
      <c r="H1282">
        <v>5.4688074999999996</v>
      </c>
      <c r="I1282">
        <v>52.174451699999999</v>
      </c>
      <c r="J1282" t="s">
        <v>512</v>
      </c>
      <c r="K1282" t="s">
        <v>356</v>
      </c>
      <c r="L1282" t="s">
        <v>180</v>
      </c>
      <c r="M1282" t="s">
        <v>6</v>
      </c>
    </row>
    <row r="1283" spans="1:13" x14ac:dyDescent="0.25">
      <c r="A1283" s="3" t="s">
        <v>179</v>
      </c>
      <c r="B1283" s="4">
        <v>4</v>
      </c>
      <c r="C1283" s="4"/>
      <c r="D1283" s="4" t="s">
        <v>180</v>
      </c>
      <c r="E1283" s="4" t="s">
        <v>6</v>
      </c>
      <c r="F1283">
        <f>COUNTIFS($D$2:D1283,D1283)</f>
        <v>5</v>
      </c>
      <c r="G1283" t="str">
        <f t="shared" si="20"/>
        <v>3871K</v>
      </c>
      <c r="H1283">
        <v>5.4686082999999996</v>
      </c>
      <c r="I1283">
        <v>52.170090999999999</v>
      </c>
      <c r="J1283" t="s">
        <v>512</v>
      </c>
      <c r="K1283" t="s">
        <v>260</v>
      </c>
      <c r="L1283" t="s">
        <v>180</v>
      </c>
      <c r="M1283" t="s">
        <v>6</v>
      </c>
    </row>
    <row r="1284" spans="1:13" x14ac:dyDescent="0.25">
      <c r="A1284" s="3" t="s">
        <v>179</v>
      </c>
      <c r="B1284" s="4">
        <v>5</v>
      </c>
      <c r="C1284" s="4"/>
      <c r="D1284" s="4" t="s">
        <v>180</v>
      </c>
      <c r="E1284" s="4" t="s">
        <v>6</v>
      </c>
      <c r="F1284">
        <f>COUNTIFS($D$2:D1284,D1284)</f>
        <v>6</v>
      </c>
      <c r="G1284" t="str">
        <f t="shared" si="20"/>
        <v>3871K</v>
      </c>
      <c r="H1284">
        <v>5.4690101999999996</v>
      </c>
      <c r="I1284">
        <v>52.174063400000001</v>
      </c>
      <c r="J1284" t="s">
        <v>512</v>
      </c>
      <c r="K1284" t="s">
        <v>357</v>
      </c>
      <c r="L1284" t="s">
        <v>180</v>
      </c>
      <c r="M1284" t="s">
        <v>6</v>
      </c>
    </row>
    <row r="1285" spans="1:13" x14ac:dyDescent="0.25">
      <c r="A1285" s="3" t="s">
        <v>179</v>
      </c>
      <c r="B1285" s="4">
        <v>6</v>
      </c>
      <c r="C1285" s="4"/>
      <c r="D1285" s="4" t="s">
        <v>180</v>
      </c>
      <c r="E1285" s="4" t="s">
        <v>6</v>
      </c>
      <c r="F1285">
        <f>COUNTIFS($D$2:D1285,D1285)</f>
        <v>7</v>
      </c>
      <c r="G1285" t="str">
        <f t="shared" si="20"/>
        <v>3871K</v>
      </c>
      <c r="H1285">
        <v>5.4686081</v>
      </c>
      <c r="I1285">
        <v>52.170028100000003</v>
      </c>
      <c r="J1285" t="s">
        <v>512</v>
      </c>
      <c r="K1285" t="s">
        <v>262</v>
      </c>
      <c r="L1285" t="s">
        <v>180</v>
      </c>
      <c r="M1285" t="s">
        <v>6</v>
      </c>
    </row>
    <row r="1286" spans="1:13" x14ac:dyDescent="0.25">
      <c r="A1286" s="3" t="s">
        <v>179</v>
      </c>
      <c r="B1286" s="4">
        <v>7</v>
      </c>
      <c r="C1286" s="4"/>
      <c r="D1286" s="4" t="s">
        <v>180</v>
      </c>
      <c r="E1286" s="4" t="s">
        <v>6</v>
      </c>
      <c r="F1286">
        <f>COUNTIFS($D$2:D1286,D1286)</f>
        <v>8</v>
      </c>
      <c r="G1286" t="str">
        <f t="shared" si="20"/>
        <v>3871K</v>
      </c>
      <c r="H1286">
        <v>5.4689728999999998</v>
      </c>
      <c r="I1286">
        <v>52.173962000000003</v>
      </c>
      <c r="J1286" t="s">
        <v>512</v>
      </c>
      <c r="K1286" t="s">
        <v>358</v>
      </c>
      <c r="L1286" t="s">
        <v>180</v>
      </c>
      <c r="M1286" t="s">
        <v>6</v>
      </c>
    </row>
    <row r="1287" spans="1:13" x14ac:dyDescent="0.25">
      <c r="A1287" s="3" t="s">
        <v>179</v>
      </c>
      <c r="B1287" s="4">
        <v>8</v>
      </c>
      <c r="C1287" s="4"/>
      <c r="D1287" s="4" t="s">
        <v>180</v>
      </c>
      <c r="E1287" s="4" t="s">
        <v>6</v>
      </c>
      <c r="F1287">
        <f>COUNTIFS($D$2:D1287,D1287)</f>
        <v>9</v>
      </c>
      <c r="G1287" t="str">
        <f t="shared" si="20"/>
        <v>3871K</v>
      </c>
      <c r="H1287">
        <v>5.4686079999999997</v>
      </c>
      <c r="I1287">
        <v>52.169974199999999</v>
      </c>
      <c r="J1287" t="s">
        <v>512</v>
      </c>
      <c r="K1287" t="s">
        <v>263</v>
      </c>
      <c r="L1287" t="s">
        <v>180</v>
      </c>
      <c r="M1287" t="s">
        <v>6</v>
      </c>
    </row>
    <row r="1288" spans="1:13" x14ac:dyDescent="0.25">
      <c r="A1288" s="3" t="s">
        <v>179</v>
      </c>
      <c r="B1288" s="4">
        <v>9</v>
      </c>
      <c r="C1288" s="4"/>
      <c r="D1288" s="4" t="s">
        <v>180</v>
      </c>
      <c r="E1288" s="4" t="s">
        <v>6</v>
      </c>
      <c r="F1288">
        <f>COUNTIFS($D$2:D1288,D1288)</f>
        <v>10</v>
      </c>
      <c r="G1288" t="str">
        <f t="shared" si="20"/>
        <v>3871K</v>
      </c>
      <c r="H1288">
        <v>5.4689220000000001</v>
      </c>
      <c r="I1288">
        <v>52.173811800000003</v>
      </c>
      <c r="J1288" t="s">
        <v>512</v>
      </c>
      <c r="K1288" t="s">
        <v>382</v>
      </c>
      <c r="L1288" t="s">
        <v>180</v>
      </c>
      <c r="M1288" t="s">
        <v>6</v>
      </c>
    </row>
    <row r="1289" spans="1:13" x14ac:dyDescent="0.25">
      <c r="A1289" s="3" t="s">
        <v>179</v>
      </c>
      <c r="B1289" s="4">
        <v>10</v>
      </c>
      <c r="C1289" s="4"/>
      <c r="D1289" s="4" t="s">
        <v>180</v>
      </c>
      <c r="E1289" s="4" t="s">
        <v>6</v>
      </c>
      <c r="F1289">
        <f>COUNTIFS($D$2:D1289,D1289)</f>
        <v>11</v>
      </c>
      <c r="G1289" t="str">
        <f t="shared" si="20"/>
        <v>3871K</v>
      </c>
      <c r="H1289">
        <v>5.4686079000000003</v>
      </c>
      <c r="I1289">
        <v>52.1699202</v>
      </c>
      <c r="J1289" t="s">
        <v>512</v>
      </c>
      <c r="K1289" t="s">
        <v>264</v>
      </c>
      <c r="L1289" t="s">
        <v>180</v>
      </c>
      <c r="M1289" t="s">
        <v>6</v>
      </c>
    </row>
    <row r="1290" spans="1:13" x14ac:dyDescent="0.25">
      <c r="A1290" s="3" t="s">
        <v>179</v>
      </c>
      <c r="B1290" s="4">
        <v>11</v>
      </c>
      <c r="C1290" s="4"/>
      <c r="D1290" s="4" t="s">
        <v>180</v>
      </c>
      <c r="E1290" s="4" t="s">
        <v>6</v>
      </c>
      <c r="F1290">
        <f>COUNTIFS($D$2:D1290,D1290)</f>
        <v>12</v>
      </c>
      <c r="G1290" t="str">
        <f t="shared" si="20"/>
        <v>3871K</v>
      </c>
      <c r="H1290">
        <v>5.4689218000000004</v>
      </c>
      <c r="I1290">
        <v>52.173676999999998</v>
      </c>
      <c r="J1290" t="s">
        <v>512</v>
      </c>
      <c r="K1290" t="s">
        <v>391</v>
      </c>
      <c r="L1290" t="s">
        <v>180</v>
      </c>
      <c r="M1290" t="s">
        <v>6</v>
      </c>
    </row>
    <row r="1291" spans="1:13" x14ac:dyDescent="0.25">
      <c r="A1291" s="3" t="s">
        <v>179</v>
      </c>
      <c r="B1291" s="4">
        <v>12</v>
      </c>
      <c r="C1291" s="4"/>
      <c r="D1291" s="4" t="s">
        <v>180</v>
      </c>
      <c r="E1291" s="4" t="s">
        <v>6</v>
      </c>
      <c r="F1291">
        <f>COUNTIFS($D$2:D1291,D1291)</f>
        <v>13</v>
      </c>
      <c r="G1291" t="str">
        <f t="shared" si="20"/>
        <v>3871K</v>
      </c>
      <c r="H1291">
        <v>5.4686222999999998</v>
      </c>
      <c r="I1291">
        <v>52.169803399999999</v>
      </c>
      <c r="J1291" t="s">
        <v>512</v>
      </c>
      <c r="K1291" t="s">
        <v>265</v>
      </c>
      <c r="L1291" t="s">
        <v>180</v>
      </c>
      <c r="M1291" t="s">
        <v>6</v>
      </c>
    </row>
    <row r="1292" spans="1:13" x14ac:dyDescent="0.25">
      <c r="A1292" s="3" t="s">
        <v>179</v>
      </c>
      <c r="B1292" s="4">
        <v>13</v>
      </c>
      <c r="C1292" s="4"/>
      <c r="D1292" s="4" t="s">
        <v>180</v>
      </c>
      <c r="E1292" s="4" t="s">
        <v>6</v>
      </c>
      <c r="F1292">
        <f>COUNTIFS($D$2:D1292,D1292)</f>
        <v>14</v>
      </c>
      <c r="G1292" t="str">
        <f t="shared" si="20"/>
        <v>3871K</v>
      </c>
      <c r="H1292">
        <v>5.4688977000000003</v>
      </c>
      <c r="I1292">
        <v>52.173488800000001</v>
      </c>
      <c r="J1292" t="s">
        <v>512</v>
      </c>
      <c r="K1292" t="s">
        <v>359</v>
      </c>
      <c r="L1292" t="s">
        <v>180</v>
      </c>
      <c r="M1292" t="s">
        <v>6</v>
      </c>
    </row>
    <row r="1293" spans="1:13" x14ac:dyDescent="0.25">
      <c r="A1293" s="3" t="s">
        <v>179</v>
      </c>
      <c r="B1293" s="4">
        <v>14</v>
      </c>
      <c r="C1293" s="4"/>
      <c r="D1293" s="4" t="s">
        <v>180</v>
      </c>
      <c r="E1293" s="4" t="s">
        <v>6</v>
      </c>
      <c r="F1293">
        <f>COUNTIFS($D$2:D1293,D1293)</f>
        <v>15</v>
      </c>
      <c r="G1293" t="str">
        <f t="shared" si="20"/>
        <v>3871K</v>
      </c>
      <c r="H1293">
        <v>5.4686222000000004</v>
      </c>
      <c r="I1293">
        <v>52.169749500000002</v>
      </c>
      <c r="J1293" t="s">
        <v>512</v>
      </c>
      <c r="K1293" t="s">
        <v>266</v>
      </c>
      <c r="L1293" t="s">
        <v>180</v>
      </c>
      <c r="M1293" t="s">
        <v>6</v>
      </c>
    </row>
    <row r="1294" spans="1:13" x14ac:dyDescent="0.25">
      <c r="A1294" s="3" t="s">
        <v>179</v>
      </c>
      <c r="B1294" s="4">
        <v>15</v>
      </c>
      <c r="C1294" s="4"/>
      <c r="D1294" s="4" t="s">
        <v>180</v>
      </c>
      <c r="E1294" s="4" t="s">
        <v>6</v>
      </c>
      <c r="F1294">
        <f>COUNTIFS($D$2:D1294,D1294)</f>
        <v>16</v>
      </c>
      <c r="G1294" t="str">
        <f t="shared" si="20"/>
        <v>3871K</v>
      </c>
      <c r="H1294">
        <v>5.4689025999999998</v>
      </c>
      <c r="I1294">
        <v>52.173381200000001</v>
      </c>
      <c r="J1294" t="s">
        <v>512</v>
      </c>
      <c r="K1294" t="s">
        <v>383</v>
      </c>
      <c r="L1294" t="s">
        <v>180</v>
      </c>
      <c r="M1294" t="s">
        <v>6</v>
      </c>
    </row>
    <row r="1295" spans="1:13" x14ac:dyDescent="0.25">
      <c r="A1295" s="3" t="s">
        <v>179</v>
      </c>
      <c r="B1295" s="4">
        <v>16</v>
      </c>
      <c r="C1295" s="4"/>
      <c r="D1295" s="4" t="s">
        <v>180</v>
      </c>
      <c r="E1295" s="4" t="s">
        <v>6</v>
      </c>
      <c r="F1295">
        <f>COUNTIFS($D$2:D1295,D1295)</f>
        <v>17</v>
      </c>
      <c r="G1295" t="str">
        <f t="shared" si="20"/>
        <v>3871K</v>
      </c>
      <c r="H1295">
        <v>5.4686222000000004</v>
      </c>
      <c r="I1295">
        <v>52.169704500000002</v>
      </c>
      <c r="J1295" t="s">
        <v>512</v>
      </c>
      <c r="K1295" t="s">
        <v>371</v>
      </c>
      <c r="L1295" t="s">
        <v>180</v>
      </c>
      <c r="M1295" t="s">
        <v>6</v>
      </c>
    </row>
    <row r="1296" spans="1:13" x14ac:dyDescent="0.25">
      <c r="A1296" s="3" t="s">
        <v>179</v>
      </c>
      <c r="B1296" s="4">
        <v>17</v>
      </c>
      <c r="C1296" s="4"/>
      <c r="D1296" s="4" t="s">
        <v>180</v>
      </c>
      <c r="E1296" s="4" t="s">
        <v>6</v>
      </c>
      <c r="F1296">
        <f>COUNTIFS($D$2:D1296,D1296)</f>
        <v>18</v>
      </c>
      <c r="G1296" t="str">
        <f t="shared" si="20"/>
        <v>3871K</v>
      </c>
      <c r="H1296">
        <v>5.4689192000000002</v>
      </c>
      <c r="I1296">
        <v>52.173248100000002</v>
      </c>
      <c r="J1296" t="s">
        <v>512</v>
      </c>
      <c r="K1296" t="s">
        <v>360</v>
      </c>
      <c r="L1296" t="s">
        <v>180</v>
      </c>
      <c r="M1296" t="s">
        <v>6</v>
      </c>
    </row>
    <row r="1297" spans="1:13" x14ac:dyDescent="0.25">
      <c r="A1297" s="3" t="s">
        <v>179</v>
      </c>
      <c r="B1297" s="4">
        <v>18</v>
      </c>
      <c r="C1297" s="4"/>
      <c r="D1297" s="4" t="s">
        <v>180</v>
      </c>
      <c r="E1297" s="4" t="s">
        <v>6</v>
      </c>
      <c r="F1297">
        <f>COUNTIFS($D$2:D1297,D1297)</f>
        <v>19</v>
      </c>
      <c r="G1297" t="str">
        <f t="shared" si="20"/>
        <v>3871K</v>
      </c>
      <c r="H1297">
        <v>5.4686221000000002</v>
      </c>
      <c r="I1297">
        <v>52.169650599999997</v>
      </c>
      <c r="J1297" t="s">
        <v>512</v>
      </c>
      <c r="K1297" t="s">
        <v>267</v>
      </c>
      <c r="L1297" t="s">
        <v>180</v>
      </c>
      <c r="M1297" t="s">
        <v>6</v>
      </c>
    </row>
    <row r="1298" spans="1:13" x14ac:dyDescent="0.25">
      <c r="A1298" s="3" t="s">
        <v>179</v>
      </c>
      <c r="B1298" s="4">
        <v>19</v>
      </c>
      <c r="C1298" s="4"/>
      <c r="D1298" s="4" t="s">
        <v>180</v>
      </c>
      <c r="E1298" s="4" t="s">
        <v>6</v>
      </c>
      <c r="F1298">
        <f>COUNTIFS($D$2:D1298,D1298)</f>
        <v>20</v>
      </c>
      <c r="G1298" t="str">
        <f t="shared" si="20"/>
        <v>3871K</v>
      </c>
      <c r="H1298">
        <v>5.4689360000000002</v>
      </c>
      <c r="I1298">
        <v>52.173092400000002</v>
      </c>
      <c r="J1298" t="s">
        <v>512</v>
      </c>
      <c r="K1298" t="s">
        <v>361</v>
      </c>
      <c r="L1298" t="s">
        <v>180</v>
      </c>
      <c r="M1298" t="s">
        <v>6</v>
      </c>
    </row>
    <row r="1299" spans="1:13" x14ac:dyDescent="0.25">
      <c r="A1299" s="3" t="s">
        <v>179</v>
      </c>
      <c r="B1299" s="4">
        <v>20</v>
      </c>
      <c r="C1299" s="4"/>
      <c r="D1299" s="4" t="s">
        <v>180</v>
      </c>
      <c r="E1299" s="4" t="s">
        <v>6</v>
      </c>
      <c r="F1299">
        <f>COUNTIFS($D$2:D1299,D1299)</f>
        <v>21</v>
      </c>
      <c r="G1299" t="str">
        <f t="shared" si="20"/>
        <v>3871K</v>
      </c>
      <c r="H1299">
        <v>5.4686366</v>
      </c>
      <c r="I1299">
        <v>52.169587700000001</v>
      </c>
      <c r="J1299" t="s">
        <v>512</v>
      </c>
      <c r="K1299" t="s">
        <v>372</v>
      </c>
      <c r="L1299" t="s">
        <v>180</v>
      </c>
      <c r="M1299" t="s">
        <v>6</v>
      </c>
    </row>
    <row r="1300" spans="1:13" x14ac:dyDescent="0.25">
      <c r="A1300" s="3" t="s">
        <v>179</v>
      </c>
      <c r="B1300" s="4">
        <v>22</v>
      </c>
      <c r="C1300" s="4"/>
      <c r="D1300" s="4" t="s">
        <v>180</v>
      </c>
      <c r="E1300" s="4" t="s">
        <v>6</v>
      </c>
      <c r="F1300">
        <f>COUNTIFS($D$2:D1300,D1300)</f>
        <v>22</v>
      </c>
      <c r="G1300" t="str">
        <f t="shared" si="20"/>
        <v>3871K</v>
      </c>
      <c r="H1300">
        <v>5.4686510999999998</v>
      </c>
      <c r="I1300">
        <v>52.169542700000001</v>
      </c>
      <c r="J1300" t="s">
        <v>512</v>
      </c>
      <c r="K1300" t="s">
        <v>269</v>
      </c>
      <c r="L1300" t="s">
        <v>180</v>
      </c>
      <c r="M1300" t="s">
        <v>6</v>
      </c>
    </row>
    <row r="1301" spans="1:13" x14ac:dyDescent="0.25">
      <c r="A1301" s="3" t="s">
        <v>181</v>
      </c>
      <c r="B1301" s="4">
        <v>1</v>
      </c>
      <c r="C1301" s="4"/>
      <c r="D1301" s="4" t="s">
        <v>182</v>
      </c>
      <c r="E1301" s="4" t="s">
        <v>6</v>
      </c>
      <c r="F1301">
        <f>COUNTIFS($D$2:D1301,D1301)</f>
        <v>1</v>
      </c>
      <c r="G1301" t="str">
        <f t="shared" si="20"/>
        <v>3871M</v>
      </c>
      <c r="H1301">
        <v>5.4539331999999998</v>
      </c>
      <c r="I1301">
        <v>52.170702400000003</v>
      </c>
      <c r="J1301" t="s">
        <v>513</v>
      </c>
      <c r="K1301" t="s">
        <v>355</v>
      </c>
      <c r="L1301" t="s">
        <v>182</v>
      </c>
      <c r="M1301" t="s">
        <v>6</v>
      </c>
    </row>
    <row r="1302" spans="1:13" x14ac:dyDescent="0.25">
      <c r="A1302" s="3" t="s">
        <v>181</v>
      </c>
      <c r="B1302" s="4">
        <v>2</v>
      </c>
      <c r="C1302" s="4"/>
      <c r="D1302" s="4" t="s">
        <v>182</v>
      </c>
      <c r="E1302" s="4" t="s">
        <v>6</v>
      </c>
      <c r="F1302">
        <f>COUNTIFS($D$2:D1302,D1302)</f>
        <v>2</v>
      </c>
      <c r="G1302" t="str">
        <f t="shared" si="20"/>
        <v>3871M</v>
      </c>
      <c r="H1302">
        <v>5.4539624</v>
      </c>
      <c r="I1302">
        <v>52.170630500000001</v>
      </c>
      <c r="J1302" t="s">
        <v>513</v>
      </c>
      <c r="K1302" t="s">
        <v>370</v>
      </c>
      <c r="L1302" t="s">
        <v>182</v>
      </c>
      <c r="M1302" t="s">
        <v>6</v>
      </c>
    </row>
    <row r="1303" spans="1:13" x14ac:dyDescent="0.25">
      <c r="A1303" s="3" t="s">
        <v>181</v>
      </c>
      <c r="B1303" s="4">
        <v>3</v>
      </c>
      <c r="C1303" s="4"/>
      <c r="D1303" s="4" t="s">
        <v>182</v>
      </c>
      <c r="E1303" s="4" t="s">
        <v>6</v>
      </c>
      <c r="F1303">
        <f>COUNTIFS($D$2:D1303,D1303)</f>
        <v>3</v>
      </c>
      <c r="G1303" t="str">
        <f t="shared" si="20"/>
        <v>3871M</v>
      </c>
      <c r="H1303">
        <v>5.4539768000000004</v>
      </c>
      <c r="I1303">
        <v>52.170531599999997</v>
      </c>
      <c r="J1303" t="s">
        <v>513</v>
      </c>
      <c r="K1303" t="s">
        <v>356</v>
      </c>
      <c r="L1303" t="s">
        <v>182</v>
      </c>
      <c r="M1303" t="s">
        <v>6</v>
      </c>
    </row>
    <row r="1304" spans="1:13" x14ac:dyDescent="0.25">
      <c r="A1304" s="3" t="s">
        <v>181</v>
      </c>
      <c r="B1304" s="4">
        <v>4</v>
      </c>
      <c r="C1304" s="4"/>
      <c r="D1304" s="4" t="s">
        <v>182</v>
      </c>
      <c r="E1304" s="4" t="s">
        <v>6</v>
      </c>
      <c r="F1304">
        <f>COUNTIFS($D$2:D1304,D1304)</f>
        <v>4</v>
      </c>
      <c r="G1304" t="str">
        <f t="shared" si="20"/>
        <v>3871M</v>
      </c>
      <c r="H1304">
        <v>5.4539036000000003</v>
      </c>
      <c r="I1304">
        <v>52.170450799999998</v>
      </c>
      <c r="J1304" t="s">
        <v>513</v>
      </c>
      <c r="K1304" t="s">
        <v>260</v>
      </c>
      <c r="L1304" t="s">
        <v>182</v>
      </c>
      <c r="M1304" t="s">
        <v>6</v>
      </c>
    </row>
    <row r="1305" spans="1:13" x14ac:dyDescent="0.25">
      <c r="A1305" s="3" t="s">
        <v>181</v>
      </c>
      <c r="B1305" s="4">
        <v>5</v>
      </c>
      <c r="C1305" s="4"/>
      <c r="D1305" s="4" t="s">
        <v>182</v>
      </c>
      <c r="E1305" s="4" t="s">
        <v>6</v>
      </c>
      <c r="F1305">
        <f>COUNTIFS($D$2:D1305,D1305)</f>
        <v>5</v>
      </c>
      <c r="G1305" t="str">
        <f t="shared" si="20"/>
        <v>3871M</v>
      </c>
      <c r="H1305">
        <v>5.4539327000000002</v>
      </c>
      <c r="I1305">
        <v>52.170342900000001</v>
      </c>
      <c r="J1305" t="s">
        <v>513</v>
      </c>
      <c r="K1305" t="s">
        <v>357</v>
      </c>
      <c r="L1305" t="s">
        <v>182</v>
      </c>
      <c r="M1305" t="s">
        <v>6</v>
      </c>
    </row>
    <row r="1306" spans="1:13" x14ac:dyDescent="0.25">
      <c r="A1306" s="3" t="s">
        <v>181</v>
      </c>
      <c r="B1306" s="4">
        <v>6</v>
      </c>
      <c r="C1306" s="4"/>
      <c r="D1306" s="4" t="s">
        <v>182</v>
      </c>
      <c r="E1306" s="4" t="s">
        <v>6</v>
      </c>
      <c r="F1306">
        <f>COUNTIFS($D$2:D1306,D1306)</f>
        <v>6</v>
      </c>
      <c r="G1306" t="str">
        <f t="shared" si="20"/>
        <v>3871M</v>
      </c>
      <c r="H1306">
        <v>5.4539910000000003</v>
      </c>
      <c r="I1306">
        <v>52.170262000000001</v>
      </c>
      <c r="J1306" t="s">
        <v>513</v>
      </c>
      <c r="K1306" t="s">
        <v>262</v>
      </c>
      <c r="L1306" t="s">
        <v>182</v>
      </c>
      <c r="M1306" t="s">
        <v>6</v>
      </c>
    </row>
    <row r="1307" spans="1:13" x14ac:dyDescent="0.25">
      <c r="A1307" s="3" t="s">
        <v>181</v>
      </c>
      <c r="B1307" s="4">
        <v>7</v>
      </c>
      <c r="C1307" s="4"/>
      <c r="D1307" s="4" t="s">
        <v>182</v>
      </c>
      <c r="E1307" s="4" t="s">
        <v>6</v>
      </c>
      <c r="F1307">
        <f>COUNTIFS($D$2:D1307,D1307)</f>
        <v>7</v>
      </c>
      <c r="G1307" t="str">
        <f t="shared" si="20"/>
        <v>3871M</v>
      </c>
      <c r="H1307">
        <v>5.4540055000000001</v>
      </c>
      <c r="I1307">
        <v>52.170163100000003</v>
      </c>
      <c r="J1307" t="s">
        <v>513</v>
      </c>
      <c r="K1307" t="s">
        <v>358</v>
      </c>
      <c r="L1307" t="s">
        <v>182</v>
      </c>
      <c r="M1307" t="s">
        <v>6</v>
      </c>
    </row>
    <row r="1308" spans="1:13" x14ac:dyDescent="0.25">
      <c r="A1308" s="3" t="s">
        <v>181</v>
      </c>
      <c r="B1308" s="4">
        <v>8</v>
      </c>
      <c r="C1308" s="4"/>
      <c r="D1308" s="4" t="s">
        <v>182</v>
      </c>
      <c r="E1308" s="4" t="s">
        <v>6</v>
      </c>
      <c r="F1308">
        <f>COUNTIFS($D$2:D1308,D1308)</f>
        <v>8</v>
      </c>
      <c r="G1308" t="str">
        <f t="shared" si="20"/>
        <v>3871M</v>
      </c>
      <c r="H1308">
        <v>5.4539323</v>
      </c>
      <c r="I1308">
        <v>52.170091300000003</v>
      </c>
      <c r="J1308" t="s">
        <v>513</v>
      </c>
      <c r="K1308" t="s">
        <v>263</v>
      </c>
      <c r="L1308" t="s">
        <v>182</v>
      </c>
      <c r="M1308" t="s">
        <v>6</v>
      </c>
    </row>
    <row r="1309" spans="1:13" x14ac:dyDescent="0.25">
      <c r="A1309" s="3" t="s">
        <v>181</v>
      </c>
      <c r="B1309" s="4">
        <v>9</v>
      </c>
      <c r="C1309" s="4"/>
      <c r="D1309" s="4" t="s">
        <v>182</v>
      </c>
      <c r="E1309" s="4" t="s">
        <v>6</v>
      </c>
      <c r="F1309">
        <f>COUNTIFS($D$2:D1309,D1309)</f>
        <v>9</v>
      </c>
      <c r="G1309" t="str">
        <f t="shared" si="20"/>
        <v>3871M</v>
      </c>
      <c r="H1309">
        <v>5.4539906</v>
      </c>
      <c r="I1309">
        <v>52.169992399999998</v>
      </c>
      <c r="J1309" t="s">
        <v>513</v>
      </c>
      <c r="K1309" t="s">
        <v>382</v>
      </c>
      <c r="L1309" t="s">
        <v>182</v>
      </c>
      <c r="M1309" t="s">
        <v>6</v>
      </c>
    </row>
    <row r="1310" spans="1:13" x14ac:dyDescent="0.25">
      <c r="A1310" s="3" t="s">
        <v>181</v>
      </c>
      <c r="B1310" s="4">
        <v>10</v>
      </c>
      <c r="C1310" s="4"/>
      <c r="D1310" s="4" t="s">
        <v>182</v>
      </c>
      <c r="E1310" s="4" t="s">
        <v>6</v>
      </c>
      <c r="F1310">
        <f>COUNTIFS($D$2:D1310,D1310)</f>
        <v>10</v>
      </c>
      <c r="G1310" t="str">
        <f t="shared" si="20"/>
        <v>3871M</v>
      </c>
      <c r="H1310">
        <v>5.4539173999999999</v>
      </c>
      <c r="I1310">
        <v>52.169920500000003</v>
      </c>
      <c r="J1310" t="s">
        <v>513</v>
      </c>
      <c r="K1310" t="s">
        <v>264</v>
      </c>
      <c r="L1310" t="s">
        <v>182</v>
      </c>
      <c r="M1310" t="s">
        <v>6</v>
      </c>
    </row>
    <row r="1311" spans="1:13" x14ac:dyDescent="0.25">
      <c r="A1311" s="3" t="s">
        <v>183</v>
      </c>
      <c r="B1311" s="4">
        <v>1</v>
      </c>
      <c r="C1311" s="4"/>
      <c r="D1311" s="4" t="s">
        <v>184</v>
      </c>
      <c r="E1311" s="4" t="s">
        <v>6</v>
      </c>
      <c r="F1311">
        <f>COUNTIFS($D$2:D1311,D1311)</f>
        <v>1</v>
      </c>
      <c r="G1311" t="str">
        <f t="shared" si="20"/>
        <v>3871M</v>
      </c>
      <c r="H1311">
        <v>5.4542387999999997</v>
      </c>
      <c r="I1311">
        <v>52.169749500000002</v>
      </c>
      <c r="J1311" t="s">
        <v>514</v>
      </c>
      <c r="K1311" t="s">
        <v>355</v>
      </c>
      <c r="L1311" t="s">
        <v>184</v>
      </c>
      <c r="M1311" t="s">
        <v>6</v>
      </c>
    </row>
    <row r="1312" spans="1:13" x14ac:dyDescent="0.25">
      <c r="A1312" s="3" t="s">
        <v>183</v>
      </c>
      <c r="B1312" s="4">
        <v>2</v>
      </c>
      <c r="C1312" s="4"/>
      <c r="D1312" s="4" t="s">
        <v>184</v>
      </c>
      <c r="E1312" s="4" t="s">
        <v>6</v>
      </c>
      <c r="F1312">
        <f>COUNTIFS($D$2:D1312,D1312)</f>
        <v>2</v>
      </c>
      <c r="G1312" t="str">
        <f t="shared" si="20"/>
        <v>3871M</v>
      </c>
      <c r="H1312">
        <v>5.4538586999999996</v>
      </c>
      <c r="I1312">
        <v>52.169713799999997</v>
      </c>
      <c r="J1312" t="s">
        <v>514</v>
      </c>
      <c r="K1312" t="s">
        <v>370</v>
      </c>
      <c r="L1312" t="s">
        <v>184</v>
      </c>
      <c r="M1312" t="s">
        <v>6</v>
      </c>
    </row>
    <row r="1313" spans="1:13" x14ac:dyDescent="0.25">
      <c r="A1313" s="3" t="s">
        <v>183</v>
      </c>
      <c r="B1313" s="4">
        <v>3</v>
      </c>
      <c r="C1313" s="4"/>
      <c r="D1313" s="4" t="s">
        <v>184</v>
      </c>
      <c r="E1313" s="4" t="s">
        <v>6</v>
      </c>
      <c r="F1313">
        <f>COUNTIFS($D$2:D1313,D1313)</f>
        <v>3</v>
      </c>
      <c r="G1313" t="str">
        <f t="shared" si="20"/>
        <v>3871M</v>
      </c>
      <c r="H1313">
        <v>5.4535517000000002</v>
      </c>
      <c r="I1313">
        <v>52.169705</v>
      </c>
      <c r="J1313" t="s">
        <v>514</v>
      </c>
      <c r="K1313" t="s">
        <v>356</v>
      </c>
      <c r="L1313" t="s">
        <v>184</v>
      </c>
      <c r="M1313" t="s">
        <v>6</v>
      </c>
    </row>
    <row r="1314" spans="1:13" x14ac:dyDescent="0.25">
      <c r="A1314" s="3" t="s">
        <v>183</v>
      </c>
      <c r="B1314" s="4">
        <v>4</v>
      </c>
      <c r="C1314" s="4"/>
      <c r="D1314" s="4" t="s">
        <v>184</v>
      </c>
      <c r="E1314" s="4" t="s">
        <v>6</v>
      </c>
      <c r="F1314">
        <f>COUNTIFS($D$2:D1314,D1314)</f>
        <v>4</v>
      </c>
      <c r="G1314" t="str">
        <f t="shared" si="20"/>
        <v>3871M</v>
      </c>
      <c r="H1314">
        <v>5.4532885999999996</v>
      </c>
      <c r="I1314">
        <v>52.169696100000003</v>
      </c>
      <c r="J1314" t="s">
        <v>514</v>
      </c>
      <c r="K1314" t="s">
        <v>260</v>
      </c>
      <c r="L1314" t="s">
        <v>184</v>
      </c>
      <c r="M1314" t="s">
        <v>6</v>
      </c>
    </row>
    <row r="1315" spans="1:13" x14ac:dyDescent="0.25">
      <c r="A1315" s="3" t="s">
        <v>183</v>
      </c>
      <c r="B1315" s="4">
        <v>5</v>
      </c>
      <c r="C1315" s="4"/>
      <c r="D1315" s="4" t="s">
        <v>184</v>
      </c>
      <c r="E1315" s="4" t="s">
        <v>6</v>
      </c>
      <c r="F1315">
        <f>COUNTIFS($D$2:D1315,D1315)</f>
        <v>5</v>
      </c>
      <c r="G1315" t="str">
        <f t="shared" si="20"/>
        <v>3871M</v>
      </c>
      <c r="H1315">
        <v>5.4529814999999999</v>
      </c>
      <c r="I1315">
        <v>52.169669399999997</v>
      </c>
      <c r="J1315" t="s">
        <v>514</v>
      </c>
      <c r="K1315" t="s">
        <v>357</v>
      </c>
      <c r="L1315" t="s">
        <v>184</v>
      </c>
      <c r="M1315" t="s">
        <v>6</v>
      </c>
    </row>
    <row r="1316" spans="1:13" x14ac:dyDescent="0.25">
      <c r="A1316" s="3" t="s">
        <v>183</v>
      </c>
      <c r="B1316" s="4">
        <v>6</v>
      </c>
      <c r="C1316" s="4"/>
      <c r="D1316" s="4" t="s">
        <v>184</v>
      </c>
      <c r="E1316" s="4" t="s">
        <v>6</v>
      </c>
      <c r="F1316">
        <f>COUNTIFS($D$2:D1316,D1316)</f>
        <v>6</v>
      </c>
      <c r="G1316" t="str">
        <f t="shared" si="20"/>
        <v>3871M</v>
      </c>
      <c r="H1316">
        <v>5.4526745999999999</v>
      </c>
      <c r="I1316">
        <v>52.169678500000003</v>
      </c>
      <c r="J1316" t="s">
        <v>514</v>
      </c>
      <c r="K1316" t="s">
        <v>262</v>
      </c>
      <c r="L1316" t="s">
        <v>184</v>
      </c>
      <c r="M1316" t="s">
        <v>6</v>
      </c>
    </row>
    <row r="1317" spans="1:13" x14ac:dyDescent="0.25">
      <c r="A1317" s="3" t="s">
        <v>183</v>
      </c>
      <c r="B1317" s="4">
        <v>7</v>
      </c>
      <c r="C1317" s="4"/>
      <c r="D1317" s="4" t="s">
        <v>184</v>
      </c>
      <c r="E1317" s="4" t="s">
        <v>6</v>
      </c>
      <c r="F1317">
        <f>COUNTIFS($D$2:D1317,D1317)</f>
        <v>7</v>
      </c>
      <c r="G1317" t="str">
        <f t="shared" si="20"/>
        <v>3871M</v>
      </c>
      <c r="H1317">
        <v>5.4524115000000002</v>
      </c>
      <c r="I1317">
        <v>52.169678699999999</v>
      </c>
      <c r="J1317" t="s">
        <v>514</v>
      </c>
      <c r="K1317" t="s">
        <v>358</v>
      </c>
      <c r="L1317" t="s">
        <v>184</v>
      </c>
      <c r="M1317" t="s">
        <v>6</v>
      </c>
    </row>
    <row r="1318" spans="1:13" x14ac:dyDescent="0.25">
      <c r="A1318" s="3" t="s">
        <v>183</v>
      </c>
      <c r="B1318" s="4">
        <v>8</v>
      </c>
      <c r="C1318" s="4"/>
      <c r="D1318" s="4" t="s">
        <v>184</v>
      </c>
      <c r="E1318" s="4" t="s">
        <v>6</v>
      </c>
      <c r="F1318">
        <f>COUNTIFS($D$2:D1318,D1318)</f>
        <v>8</v>
      </c>
      <c r="G1318" t="str">
        <f t="shared" si="20"/>
        <v>3871M</v>
      </c>
      <c r="H1318">
        <v>5.4520460999999996</v>
      </c>
      <c r="I1318">
        <v>52.169696799999997</v>
      </c>
      <c r="J1318" t="s">
        <v>514</v>
      </c>
      <c r="K1318" t="s">
        <v>263</v>
      </c>
      <c r="L1318" t="s">
        <v>184</v>
      </c>
      <c r="M1318" t="s">
        <v>6</v>
      </c>
    </row>
    <row r="1319" spans="1:13" x14ac:dyDescent="0.25">
      <c r="A1319" s="3" t="s">
        <v>183</v>
      </c>
      <c r="B1319" s="4">
        <v>9</v>
      </c>
      <c r="C1319" s="4"/>
      <c r="D1319" s="4" t="s">
        <v>184</v>
      </c>
      <c r="E1319" s="4" t="s">
        <v>6</v>
      </c>
      <c r="F1319">
        <f>COUNTIFS($D$2:D1319,D1319)</f>
        <v>9</v>
      </c>
      <c r="G1319" t="str">
        <f t="shared" si="20"/>
        <v>3871M</v>
      </c>
      <c r="H1319">
        <v>5.4517537000000003</v>
      </c>
      <c r="I1319">
        <v>52.169696999999999</v>
      </c>
      <c r="J1319" t="s">
        <v>514</v>
      </c>
      <c r="K1319" t="s">
        <v>382</v>
      </c>
      <c r="L1319" t="s">
        <v>184</v>
      </c>
      <c r="M1319" t="s">
        <v>6</v>
      </c>
    </row>
    <row r="1320" spans="1:13" x14ac:dyDescent="0.25">
      <c r="A1320" s="3" t="s">
        <v>183</v>
      </c>
      <c r="B1320" s="4">
        <v>10</v>
      </c>
      <c r="C1320" s="4"/>
      <c r="D1320" s="4" t="s">
        <v>184</v>
      </c>
      <c r="E1320" s="4" t="s">
        <v>6</v>
      </c>
      <c r="F1320">
        <f>COUNTIFS($D$2:D1320,D1320)</f>
        <v>10</v>
      </c>
      <c r="G1320" t="str">
        <f t="shared" si="20"/>
        <v>3871M</v>
      </c>
      <c r="H1320">
        <v>5.4512860999999999</v>
      </c>
      <c r="I1320">
        <v>52.169787100000001</v>
      </c>
      <c r="J1320" t="s">
        <v>514</v>
      </c>
      <c r="K1320" t="s">
        <v>264</v>
      </c>
      <c r="L1320" t="s">
        <v>184</v>
      </c>
      <c r="M1320" t="s">
        <v>6</v>
      </c>
    </row>
    <row r="1321" spans="1:13" x14ac:dyDescent="0.25">
      <c r="A1321" s="3" t="s">
        <v>185</v>
      </c>
      <c r="B1321" s="4">
        <v>1</v>
      </c>
      <c r="C1321" s="4"/>
      <c r="D1321" s="4" t="s">
        <v>186</v>
      </c>
      <c r="E1321" s="4" t="s">
        <v>6</v>
      </c>
      <c r="F1321">
        <f>COUNTIFS($D$2:D1321,D1321)</f>
        <v>1</v>
      </c>
      <c r="G1321" t="str">
        <f t="shared" si="20"/>
        <v>3871M</v>
      </c>
      <c r="H1321">
        <v>5.453246</v>
      </c>
      <c r="I1321">
        <v>52.170549999999999</v>
      </c>
      <c r="J1321" t="s">
        <v>515</v>
      </c>
      <c r="K1321" t="s">
        <v>355</v>
      </c>
      <c r="L1321" t="s">
        <v>186</v>
      </c>
      <c r="M1321" t="s">
        <v>6</v>
      </c>
    </row>
    <row r="1322" spans="1:13" x14ac:dyDescent="0.25">
      <c r="A1322" s="3" t="s">
        <v>185</v>
      </c>
      <c r="B1322" s="4">
        <v>3</v>
      </c>
      <c r="C1322" s="4"/>
      <c r="D1322" s="4" t="s">
        <v>186</v>
      </c>
      <c r="E1322" s="4" t="s">
        <v>6</v>
      </c>
      <c r="F1322">
        <f>COUNTIFS($D$2:D1322,D1322)</f>
        <v>2</v>
      </c>
      <c r="G1322" t="str">
        <f t="shared" si="20"/>
        <v>3871M</v>
      </c>
      <c r="H1322">
        <v>5.4532458999999998</v>
      </c>
      <c r="I1322">
        <v>52.170496100000001</v>
      </c>
      <c r="J1322" t="s">
        <v>515</v>
      </c>
      <c r="K1322" t="s">
        <v>356</v>
      </c>
      <c r="L1322" t="s">
        <v>186</v>
      </c>
      <c r="M1322" t="s">
        <v>6</v>
      </c>
    </row>
    <row r="1323" spans="1:13" x14ac:dyDescent="0.25">
      <c r="A1323" s="3" t="s">
        <v>185</v>
      </c>
      <c r="B1323" s="4">
        <v>5</v>
      </c>
      <c r="C1323" s="4"/>
      <c r="D1323" s="4" t="s">
        <v>186</v>
      </c>
      <c r="E1323" s="4" t="s">
        <v>6</v>
      </c>
      <c r="F1323">
        <f>COUNTIFS($D$2:D1323,D1323)</f>
        <v>3</v>
      </c>
      <c r="G1323" t="str">
        <f t="shared" si="20"/>
        <v>3871M</v>
      </c>
      <c r="H1323">
        <v>5.4533481999999998</v>
      </c>
      <c r="I1323">
        <v>52.1704601</v>
      </c>
      <c r="J1323" t="s">
        <v>515</v>
      </c>
      <c r="K1323" t="s">
        <v>357</v>
      </c>
      <c r="L1323" t="s">
        <v>186</v>
      </c>
      <c r="M1323" t="s">
        <v>6</v>
      </c>
    </row>
    <row r="1324" spans="1:13" x14ac:dyDescent="0.25">
      <c r="A1324" s="3" t="s">
        <v>185</v>
      </c>
      <c r="B1324" s="4">
        <v>7</v>
      </c>
      <c r="C1324" s="4"/>
      <c r="D1324" s="4" t="s">
        <v>186</v>
      </c>
      <c r="E1324" s="4" t="s">
        <v>6</v>
      </c>
      <c r="F1324">
        <f>COUNTIFS($D$2:D1324,D1324)</f>
        <v>4</v>
      </c>
      <c r="G1324" t="str">
        <f t="shared" si="20"/>
        <v>3871M</v>
      </c>
      <c r="H1324">
        <v>5.4533481000000004</v>
      </c>
      <c r="I1324">
        <v>52.170406200000002</v>
      </c>
      <c r="J1324" t="s">
        <v>515</v>
      </c>
      <c r="K1324" t="s">
        <v>358</v>
      </c>
      <c r="L1324" t="s">
        <v>186</v>
      </c>
      <c r="M1324" t="s">
        <v>6</v>
      </c>
    </row>
    <row r="1325" spans="1:13" x14ac:dyDescent="0.25">
      <c r="A1325" s="3" t="s">
        <v>185</v>
      </c>
      <c r="B1325" s="4">
        <v>9</v>
      </c>
      <c r="C1325" s="4"/>
      <c r="D1325" s="4" t="s">
        <v>186</v>
      </c>
      <c r="E1325" s="4" t="s">
        <v>6</v>
      </c>
      <c r="F1325">
        <f>COUNTIFS($D$2:D1325,D1325)</f>
        <v>5</v>
      </c>
      <c r="G1325" t="str">
        <f t="shared" si="20"/>
        <v>3871M</v>
      </c>
      <c r="H1325">
        <v>5.4533480000000001</v>
      </c>
      <c r="I1325">
        <v>52.170361200000002</v>
      </c>
      <c r="J1325" t="s">
        <v>515</v>
      </c>
      <c r="K1325" t="s">
        <v>382</v>
      </c>
      <c r="L1325" t="s">
        <v>186</v>
      </c>
      <c r="M1325" t="s">
        <v>6</v>
      </c>
    </row>
    <row r="1326" spans="1:13" x14ac:dyDescent="0.25">
      <c r="A1326" s="3" t="s">
        <v>185</v>
      </c>
      <c r="B1326" s="4">
        <v>11</v>
      </c>
      <c r="C1326" s="4"/>
      <c r="D1326" s="4" t="s">
        <v>186</v>
      </c>
      <c r="E1326" s="4" t="s">
        <v>6</v>
      </c>
      <c r="F1326">
        <f>COUNTIFS($D$2:D1326,D1326)</f>
        <v>6</v>
      </c>
      <c r="G1326" t="str">
        <f t="shared" si="20"/>
        <v>3871M</v>
      </c>
      <c r="H1326">
        <v>5.4533478999999998</v>
      </c>
      <c r="I1326">
        <v>52.170316300000003</v>
      </c>
      <c r="J1326" t="s">
        <v>515</v>
      </c>
      <c r="K1326" t="s">
        <v>391</v>
      </c>
      <c r="L1326" t="s">
        <v>186</v>
      </c>
      <c r="M1326" t="s">
        <v>6</v>
      </c>
    </row>
    <row r="1327" spans="1:13" x14ac:dyDescent="0.25">
      <c r="A1327" s="3" t="s">
        <v>185</v>
      </c>
      <c r="B1327" s="4">
        <v>13</v>
      </c>
      <c r="C1327" s="4"/>
      <c r="D1327" s="4" t="s">
        <v>186</v>
      </c>
      <c r="E1327" s="4" t="s">
        <v>6</v>
      </c>
      <c r="F1327">
        <f>COUNTIFS($D$2:D1327,D1327)</f>
        <v>7</v>
      </c>
      <c r="G1327" t="str">
        <f t="shared" si="20"/>
        <v>3871M</v>
      </c>
      <c r="H1327">
        <v>5.4533624999999999</v>
      </c>
      <c r="I1327">
        <v>52.170271300000003</v>
      </c>
      <c r="J1327" t="s">
        <v>515</v>
      </c>
      <c r="K1327" t="s">
        <v>359</v>
      </c>
      <c r="L1327" t="s">
        <v>186</v>
      </c>
      <c r="M1327" t="s">
        <v>6</v>
      </c>
    </row>
    <row r="1328" spans="1:13" x14ac:dyDescent="0.25">
      <c r="A1328" s="3" t="s">
        <v>185</v>
      </c>
      <c r="B1328" s="4">
        <v>15</v>
      </c>
      <c r="C1328" s="4"/>
      <c r="D1328" s="4" t="s">
        <v>186</v>
      </c>
      <c r="E1328" s="4" t="s">
        <v>6</v>
      </c>
      <c r="F1328">
        <f>COUNTIFS($D$2:D1328,D1328)</f>
        <v>8</v>
      </c>
      <c r="G1328" t="str">
        <f t="shared" si="20"/>
        <v>3871M</v>
      </c>
      <c r="H1328">
        <v>5.4533623999999996</v>
      </c>
      <c r="I1328">
        <v>52.170235400000003</v>
      </c>
      <c r="J1328" t="s">
        <v>515</v>
      </c>
      <c r="K1328" t="s">
        <v>383</v>
      </c>
      <c r="L1328" t="s">
        <v>186</v>
      </c>
      <c r="M1328" t="s">
        <v>6</v>
      </c>
    </row>
    <row r="1329" spans="1:13" x14ac:dyDescent="0.25">
      <c r="A1329" s="3" t="s">
        <v>185</v>
      </c>
      <c r="B1329" s="4">
        <v>17</v>
      </c>
      <c r="C1329" s="4"/>
      <c r="D1329" s="4" t="s">
        <v>186</v>
      </c>
      <c r="E1329" s="4" t="s">
        <v>6</v>
      </c>
      <c r="F1329">
        <f>COUNTIFS($D$2:D1329,D1329)</f>
        <v>9</v>
      </c>
      <c r="G1329" t="str">
        <f t="shared" si="20"/>
        <v>3871M</v>
      </c>
      <c r="H1329">
        <v>5.4533623000000002</v>
      </c>
      <c r="I1329">
        <v>52.170154500000002</v>
      </c>
      <c r="J1329" t="s">
        <v>515</v>
      </c>
      <c r="K1329" t="s">
        <v>360</v>
      </c>
      <c r="L1329" t="s">
        <v>186</v>
      </c>
      <c r="M1329" t="s">
        <v>6</v>
      </c>
    </row>
    <row r="1330" spans="1:13" x14ac:dyDescent="0.25">
      <c r="A1330" s="3" t="s">
        <v>185</v>
      </c>
      <c r="B1330" s="4">
        <v>19</v>
      </c>
      <c r="C1330" s="4"/>
      <c r="D1330" s="4" t="s">
        <v>186</v>
      </c>
      <c r="E1330" s="4" t="s">
        <v>6</v>
      </c>
      <c r="F1330">
        <f>COUNTIFS($D$2:D1330,D1330)</f>
        <v>10</v>
      </c>
      <c r="G1330" t="str">
        <f t="shared" si="20"/>
        <v>3871M</v>
      </c>
      <c r="H1330">
        <v>5.4533621999999999</v>
      </c>
      <c r="I1330">
        <v>52.170100599999998</v>
      </c>
      <c r="J1330" t="s">
        <v>515</v>
      </c>
      <c r="K1330" t="s">
        <v>361</v>
      </c>
      <c r="L1330" t="s">
        <v>186</v>
      </c>
      <c r="M1330" t="s">
        <v>6</v>
      </c>
    </row>
    <row r="1331" spans="1:13" x14ac:dyDescent="0.25">
      <c r="A1331" s="3" t="s">
        <v>185</v>
      </c>
      <c r="B1331" s="4">
        <v>21</v>
      </c>
      <c r="C1331" s="4"/>
      <c r="D1331" s="4" t="s">
        <v>186</v>
      </c>
      <c r="E1331" s="4" t="s">
        <v>6</v>
      </c>
      <c r="F1331">
        <f>COUNTIFS($D$2:D1331,D1331)</f>
        <v>11</v>
      </c>
      <c r="G1331" t="str">
        <f t="shared" si="20"/>
        <v>3871M</v>
      </c>
      <c r="H1331">
        <v>5.4532891000000001</v>
      </c>
      <c r="I1331">
        <v>52.1700467</v>
      </c>
      <c r="J1331" t="s">
        <v>515</v>
      </c>
      <c r="K1331" t="s">
        <v>362</v>
      </c>
      <c r="L1331" t="s">
        <v>186</v>
      </c>
      <c r="M1331" t="s">
        <v>6</v>
      </c>
    </row>
    <row r="1332" spans="1:13" x14ac:dyDescent="0.25">
      <c r="A1332" s="3" t="s">
        <v>185</v>
      </c>
      <c r="B1332" s="4">
        <v>23</v>
      </c>
      <c r="C1332" s="4"/>
      <c r="D1332" s="4" t="s">
        <v>186</v>
      </c>
      <c r="E1332" s="4" t="s">
        <v>6</v>
      </c>
      <c r="F1332">
        <f>COUNTIFS($D$2:D1332,D1332)</f>
        <v>12</v>
      </c>
      <c r="G1332" t="str">
        <f t="shared" si="20"/>
        <v>3871M</v>
      </c>
      <c r="H1332">
        <v>5.4532889999999998</v>
      </c>
      <c r="I1332">
        <v>52.1700017</v>
      </c>
      <c r="J1332" t="s">
        <v>515</v>
      </c>
      <c r="K1332" t="s">
        <v>384</v>
      </c>
      <c r="L1332" t="s">
        <v>186</v>
      </c>
      <c r="M1332" t="s">
        <v>6</v>
      </c>
    </row>
    <row r="1333" spans="1:13" x14ac:dyDescent="0.25">
      <c r="A1333" s="3" t="s">
        <v>185</v>
      </c>
      <c r="B1333" s="4">
        <v>25</v>
      </c>
      <c r="C1333" s="4"/>
      <c r="D1333" s="4" t="s">
        <v>186</v>
      </c>
      <c r="E1333" s="4" t="s">
        <v>6</v>
      </c>
      <c r="F1333">
        <f>COUNTIFS($D$2:D1333,D1333)</f>
        <v>13</v>
      </c>
      <c r="G1333" t="str">
        <f t="shared" si="20"/>
        <v>3871M</v>
      </c>
      <c r="H1333">
        <v>5.4532889000000004</v>
      </c>
      <c r="I1333">
        <v>52.169956800000001</v>
      </c>
      <c r="J1333" t="s">
        <v>515</v>
      </c>
      <c r="K1333" t="s">
        <v>385</v>
      </c>
      <c r="L1333" t="s">
        <v>186</v>
      </c>
      <c r="M1333" t="s">
        <v>6</v>
      </c>
    </row>
    <row r="1334" spans="1:13" x14ac:dyDescent="0.25">
      <c r="A1334" s="3" t="s">
        <v>185</v>
      </c>
      <c r="B1334" s="4">
        <v>27</v>
      </c>
      <c r="C1334" s="4"/>
      <c r="D1334" s="4" t="s">
        <v>186</v>
      </c>
      <c r="E1334" s="4" t="s">
        <v>6</v>
      </c>
      <c r="F1334">
        <f>COUNTIFS($D$2:D1334,D1334)</f>
        <v>14</v>
      </c>
      <c r="G1334" t="str">
        <f t="shared" si="20"/>
        <v>3871M</v>
      </c>
      <c r="H1334">
        <v>5.4533034999999996</v>
      </c>
      <c r="I1334">
        <v>52.1699208</v>
      </c>
      <c r="J1334" t="s">
        <v>515</v>
      </c>
      <c r="K1334" t="s">
        <v>393</v>
      </c>
      <c r="L1334" t="s">
        <v>186</v>
      </c>
      <c r="M1334" t="s">
        <v>6</v>
      </c>
    </row>
    <row r="1335" spans="1:13" x14ac:dyDescent="0.25">
      <c r="A1335" s="3" t="s">
        <v>187</v>
      </c>
      <c r="B1335" s="4">
        <v>2</v>
      </c>
      <c r="C1335" s="4"/>
      <c r="D1335" s="4" t="s">
        <v>186</v>
      </c>
      <c r="E1335" s="4" t="s">
        <v>6</v>
      </c>
      <c r="F1335">
        <f>COUNTIFS($D$2:D1335,D1335)</f>
        <v>15</v>
      </c>
      <c r="G1335" t="str">
        <f t="shared" si="20"/>
        <v>3871M</v>
      </c>
      <c r="H1335">
        <v>5.4526177999999996</v>
      </c>
      <c r="I1335">
        <v>52.170838000000003</v>
      </c>
      <c r="J1335" t="s">
        <v>516</v>
      </c>
      <c r="K1335" t="s">
        <v>370</v>
      </c>
      <c r="L1335" t="s">
        <v>186</v>
      </c>
      <c r="M1335" t="s">
        <v>6</v>
      </c>
    </row>
    <row r="1336" spans="1:13" x14ac:dyDescent="0.25">
      <c r="A1336" s="3" t="s">
        <v>187</v>
      </c>
      <c r="B1336" s="4">
        <v>4</v>
      </c>
      <c r="C1336" s="4"/>
      <c r="D1336" s="4" t="s">
        <v>186</v>
      </c>
      <c r="E1336" s="4" t="s">
        <v>6</v>
      </c>
      <c r="F1336">
        <f>COUNTIFS($D$2:D1336,D1336)</f>
        <v>16</v>
      </c>
      <c r="G1336" t="str">
        <f t="shared" si="20"/>
        <v>3871M</v>
      </c>
      <c r="H1336">
        <v>5.4526177999999996</v>
      </c>
      <c r="I1336">
        <v>52.170802000000002</v>
      </c>
      <c r="J1336" t="s">
        <v>516</v>
      </c>
      <c r="K1336" t="s">
        <v>260</v>
      </c>
      <c r="L1336" t="s">
        <v>186</v>
      </c>
      <c r="M1336" t="s">
        <v>6</v>
      </c>
    </row>
    <row r="1337" spans="1:13" x14ac:dyDescent="0.25">
      <c r="A1337" s="3" t="s">
        <v>187</v>
      </c>
      <c r="B1337" s="4">
        <v>6</v>
      </c>
      <c r="C1337" s="4"/>
      <c r="D1337" s="4" t="s">
        <v>186</v>
      </c>
      <c r="E1337" s="4" t="s">
        <v>6</v>
      </c>
      <c r="F1337">
        <f>COUNTIFS($D$2:D1337,D1337)</f>
        <v>17</v>
      </c>
      <c r="G1337" t="str">
        <f t="shared" si="20"/>
        <v>3871M</v>
      </c>
      <c r="H1337">
        <v>5.4526177000000002</v>
      </c>
      <c r="I1337">
        <v>52.170757100000003</v>
      </c>
      <c r="J1337" t="s">
        <v>516</v>
      </c>
      <c r="K1337" t="s">
        <v>262</v>
      </c>
      <c r="L1337" t="s">
        <v>186</v>
      </c>
      <c r="M1337" t="s">
        <v>6</v>
      </c>
    </row>
    <row r="1338" spans="1:13" x14ac:dyDescent="0.25">
      <c r="A1338" s="3" t="s">
        <v>187</v>
      </c>
      <c r="B1338" s="4">
        <v>8</v>
      </c>
      <c r="C1338" s="4"/>
      <c r="D1338" s="4" t="s">
        <v>186</v>
      </c>
      <c r="E1338" s="4" t="s">
        <v>6</v>
      </c>
      <c r="F1338">
        <f>COUNTIFS($D$2:D1338,D1338)</f>
        <v>18</v>
      </c>
      <c r="G1338" t="str">
        <f t="shared" si="20"/>
        <v>3871M</v>
      </c>
      <c r="H1338">
        <v>5.4526176</v>
      </c>
      <c r="I1338">
        <v>52.170712199999997</v>
      </c>
      <c r="J1338" t="s">
        <v>516</v>
      </c>
      <c r="K1338" t="s">
        <v>263</v>
      </c>
      <c r="L1338" t="s">
        <v>186</v>
      </c>
      <c r="M1338" t="s">
        <v>6</v>
      </c>
    </row>
    <row r="1339" spans="1:13" x14ac:dyDescent="0.25">
      <c r="A1339" s="3" t="s">
        <v>187</v>
      </c>
      <c r="B1339" s="4">
        <v>14</v>
      </c>
      <c r="C1339" s="4"/>
      <c r="D1339" s="4" t="s">
        <v>186</v>
      </c>
      <c r="E1339" s="4" t="s">
        <v>6</v>
      </c>
      <c r="F1339">
        <f>COUNTIFS($D$2:D1339,D1339)</f>
        <v>19</v>
      </c>
      <c r="G1339" t="str">
        <f t="shared" si="20"/>
        <v>3871M</v>
      </c>
      <c r="H1339">
        <v>5.4527782</v>
      </c>
      <c r="I1339">
        <v>52.170568299999999</v>
      </c>
      <c r="J1339" t="s">
        <v>516</v>
      </c>
      <c r="K1339" t="s">
        <v>266</v>
      </c>
      <c r="L1339" t="s">
        <v>186</v>
      </c>
      <c r="M1339" t="s">
        <v>6</v>
      </c>
    </row>
    <row r="1340" spans="1:13" x14ac:dyDescent="0.25">
      <c r="A1340" s="3" t="s">
        <v>187</v>
      </c>
      <c r="B1340" s="4">
        <v>16</v>
      </c>
      <c r="C1340" s="4"/>
      <c r="D1340" s="4" t="s">
        <v>186</v>
      </c>
      <c r="E1340" s="4" t="s">
        <v>6</v>
      </c>
      <c r="F1340">
        <f>COUNTIFS($D$2:D1340,D1340)</f>
        <v>20</v>
      </c>
      <c r="G1340" t="str">
        <f t="shared" si="20"/>
        <v>3871M</v>
      </c>
      <c r="H1340">
        <v>5.4528074000000002</v>
      </c>
      <c r="I1340">
        <v>52.170523299999999</v>
      </c>
      <c r="J1340" t="s">
        <v>516</v>
      </c>
      <c r="K1340" t="s">
        <v>371</v>
      </c>
      <c r="L1340" t="s">
        <v>186</v>
      </c>
      <c r="M1340" t="s">
        <v>6</v>
      </c>
    </row>
    <row r="1341" spans="1:13" x14ac:dyDescent="0.25">
      <c r="A1341" s="3" t="s">
        <v>187</v>
      </c>
      <c r="B1341" s="4">
        <v>20</v>
      </c>
      <c r="C1341" s="4"/>
      <c r="D1341" s="4" t="s">
        <v>186</v>
      </c>
      <c r="E1341" s="4" t="s">
        <v>6</v>
      </c>
      <c r="F1341">
        <f>COUNTIFS($D$2:D1341,D1341)</f>
        <v>21</v>
      </c>
      <c r="G1341" t="str">
        <f t="shared" si="20"/>
        <v>3871M</v>
      </c>
      <c r="H1341">
        <v>5.4528365000000001</v>
      </c>
      <c r="I1341">
        <v>52.170415400000003</v>
      </c>
      <c r="J1341" t="s">
        <v>516</v>
      </c>
      <c r="K1341" t="s">
        <v>372</v>
      </c>
      <c r="L1341" t="s">
        <v>186</v>
      </c>
      <c r="M1341" t="s">
        <v>6</v>
      </c>
    </row>
    <row r="1342" spans="1:13" x14ac:dyDescent="0.25">
      <c r="A1342" s="3" t="s">
        <v>189</v>
      </c>
      <c r="B1342" s="4">
        <v>12</v>
      </c>
      <c r="C1342" s="4"/>
      <c r="D1342" s="4" t="s">
        <v>188</v>
      </c>
      <c r="E1342" s="4" t="s">
        <v>6</v>
      </c>
      <c r="F1342">
        <f>COUNTIFS($D$2:D1342,D1342)</f>
        <v>1</v>
      </c>
      <c r="G1342" t="str">
        <f t="shared" si="20"/>
        <v>3871M</v>
      </c>
      <c r="H1342">
        <v>5.4517106000000002</v>
      </c>
      <c r="I1342">
        <v>52.170218300000002</v>
      </c>
      <c r="J1342" t="s">
        <v>517</v>
      </c>
      <c r="K1342" t="s">
        <v>265</v>
      </c>
      <c r="L1342" t="s">
        <v>188</v>
      </c>
      <c r="M1342" t="s">
        <v>6</v>
      </c>
    </row>
    <row r="1343" spans="1:13" x14ac:dyDescent="0.25">
      <c r="A1343" s="3" t="s">
        <v>189</v>
      </c>
      <c r="B1343" s="4">
        <v>18</v>
      </c>
      <c r="C1343" s="4"/>
      <c r="D1343" s="4" t="s">
        <v>188</v>
      </c>
      <c r="E1343" s="4" t="s">
        <v>6</v>
      </c>
      <c r="F1343">
        <f>COUNTIFS($D$2:D1343,D1343)</f>
        <v>2</v>
      </c>
      <c r="G1343" t="str">
        <f t="shared" si="20"/>
        <v>3871M</v>
      </c>
      <c r="H1343">
        <v>5.4517251</v>
      </c>
      <c r="I1343">
        <v>52.170083499999997</v>
      </c>
      <c r="J1343" t="s">
        <v>517</v>
      </c>
      <c r="K1343" t="s">
        <v>267</v>
      </c>
      <c r="L1343" t="s">
        <v>188</v>
      </c>
      <c r="M1343" t="s">
        <v>6</v>
      </c>
    </row>
    <row r="1344" spans="1:13" x14ac:dyDescent="0.25">
      <c r="A1344" s="3" t="s">
        <v>190</v>
      </c>
      <c r="B1344" s="4">
        <v>1</v>
      </c>
      <c r="C1344" s="4"/>
      <c r="D1344" s="4" t="s">
        <v>191</v>
      </c>
      <c r="E1344" s="4" t="s">
        <v>6</v>
      </c>
      <c r="F1344">
        <f>COUNTIFS($D$2:D1344,D1344)</f>
        <v>1</v>
      </c>
      <c r="G1344" t="str">
        <f t="shared" si="20"/>
        <v>3871M</v>
      </c>
      <c r="H1344">
        <v>5.4511994000000001</v>
      </c>
      <c r="I1344">
        <v>52.1704972</v>
      </c>
      <c r="J1344" t="s">
        <v>518</v>
      </c>
      <c r="K1344" t="s">
        <v>355</v>
      </c>
      <c r="L1344" t="s">
        <v>191</v>
      </c>
      <c r="M1344" t="s">
        <v>6</v>
      </c>
    </row>
    <row r="1345" spans="1:13" x14ac:dyDescent="0.25">
      <c r="A1345" s="3" t="s">
        <v>190</v>
      </c>
      <c r="B1345" s="4">
        <v>2</v>
      </c>
      <c r="C1345" s="4"/>
      <c r="D1345" s="4" t="s">
        <v>191</v>
      </c>
      <c r="E1345" s="4" t="s">
        <v>6</v>
      </c>
      <c r="F1345">
        <f>COUNTIFS($D$2:D1345,D1345)</f>
        <v>2</v>
      </c>
      <c r="G1345" t="str">
        <f t="shared" si="20"/>
        <v>3871M</v>
      </c>
      <c r="H1345">
        <v>5.4505128000000003</v>
      </c>
      <c r="I1345">
        <v>52.170749299999997</v>
      </c>
      <c r="J1345" t="s">
        <v>518</v>
      </c>
      <c r="K1345" t="s">
        <v>370</v>
      </c>
      <c r="L1345" t="s">
        <v>191</v>
      </c>
      <c r="M1345" t="s">
        <v>6</v>
      </c>
    </row>
    <row r="1346" spans="1:13" x14ac:dyDescent="0.25">
      <c r="A1346" s="3" t="s">
        <v>190</v>
      </c>
      <c r="B1346" s="4">
        <v>3</v>
      </c>
      <c r="C1346" s="4"/>
      <c r="D1346" s="4" t="s">
        <v>191</v>
      </c>
      <c r="E1346" s="4" t="s">
        <v>6</v>
      </c>
      <c r="F1346">
        <f>COUNTIFS($D$2:D1346,D1346)</f>
        <v>3</v>
      </c>
      <c r="G1346" t="str">
        <f t="shared" ref="G1346:G1409" si="21">LEFT(A1346,5)</f>
        <v>3871M</v>
      </c>
      <c r="H1346">
        <v>5.4511992999999999</v>
      </c>
      <c r="I1346">
        <v>52.170434299999997</v>
      </c>
      <c r="J1346" t="s">
        <v>518</v>
      </c>
      <c r="K1346" t="s">
        <v>356</v>
      </c>
      <c r="L1346" t="s">
        <v>191</v>
      </c>
      <c r="M1346" t="s">
        <v>6</v>
      </c>
    </row>
    <row r="1347" spans="1:13" x14ac:dyDescent="0.25">
      <c r="A1347" s="3" t="s">
        <v>190</v>
      </c>
      <c r="B1347" s="4">
        <v>4</v>
      </c>
      <c r="C1347" s="4"/>
      <c r="D1347" s="4" t="s">
        <v>191</v>
      </c>
      <c r="E1347" s="4" t="s">
        <v>6</v>
      </c>
      <c r="F1347">
        <f>COUNTIFS($D$2:D1347,D1347)</f>
        <v>4</v>
      </c>
      <c r="G1347" t="str">
        <f t="shared" si="21"/>
        <v>3871M</v>
      </c>
      <c r="H1347">
        <v>5.4505273000000001</v>
      </c>
      <c r="I1347">
        <v>52.1706863</v>
      </c>
      <c r="J1347" t="s">
        <v>518</v>
      </c>
      <c r="K1347" t="s">
        <v>260</v>
      </c>
      <c r="L1347" t="s">
        <v>191</v>
      </c>
      <c r="M1347" t="s">
        <v>6</v>
      </c>
    </row>
    <row r="1348" spans="1:13" x14ac:dyDescent="0.25">
      <c r="A1348" s="3" t="s">
        <v>190</v>
      </c>
      <c r="B1348" s="4">
        <v>5</v>
      </c>
      <c r="C1348" s="4"/>
      <c r="D1348" s="4" t="s">
        <v>191</v>
      </c>
      <c r="E1348" s="4" t="s">
        <v>6</v>
      </c>
      <c r="F1348">
        <f>COUNTIFS($D$2:D1348,D1348)</f>
        <v>5</v>
      </c>
      <c r="G1348" t="str">
        <f t="shared" si="21"/>
        <v>3871M</v>
      </c>
      <c r="H1348">
        <v>5.4511991999999996</v>
      </c>
      <c r="I1348">
        <v>52.170371400000001</v>
      </c>
      <c r="J1348" t="s">
        <v>518</v>
      </c>
      <c r="K1348" t="s">
        <v>357</v>
      </c>
      <c r="L1348" t="s">
        <v>191</v>
      </c>
      <c r="M1348" t="s">
        <v>6</v>
      </c>
    </row>
    <row r="1349" spans="1:13" x14ac:dyDescent="0.25">
      <c r="A1349" s="3" t="s">
        <v>190</v>
      </c>
      <c r="B1349" s="4">
        <v>6</v>
      </c>
      <c r="C1349" s="4"/>
      <c r="D1349" s="4" t="s">
        <v>191</v>
      </c>
      <c r="E1349" s="4" t="s">
        <v>6</v>
      </c>
      <c r="F1349">
        <f>COUNTIFS($D$2:D1349,D1349)</f>
        <v>6</v>
      </c>
      <c r="G1349" t="str">
        <f t="shared" si="21"/>
        <v>3871M</v>
      </c>
      <c r="H1349">
        <v>5.4504833000000001</v>
      </c>
      <c r="I1349">
        <v>52.170623399999997</v>
      </c>
      <c r="J1349" t="s">
        <v>518</v>
      </c>
      <c r="K1349" t="s">
        <v>262</v>
      </c>
      <c r="L1349" t="s">
        <v>191</v>
      </c>
      <c r="M1349" t="s">
        <v>6</v>
      </c>
    </row>
    <row r="1350" spans="1:13" x14ac:dyDescent="0.25">
      <c r="A1350" s="3" t="s">
        <v>190</v>
      </c>
      <c r="B1350" s="4">
        <v>7</v>
      </c>
      <c r="C1350" s="4"/>
      <c r="D1350" s="4" t="s">
        <v>191</v>
      </c>
      <c r="E1350" s="4" t="s">
        <v>6</v>
      </c>
      <c r="F1350">
        <f>COUNTIFS($D$2:D1350,D1350)</f>
        <v>7</v>
      </c>
      <c r="G1350" t="str">
        <f t="shared" si="21"/>
        <v>3871M</v>
      </c>
      <c r="H1350">
        <v>5.4512137999999997</v>
      </c>
      <c r="I1350">
        <v>52.170317500000003</v>
      </c>
      <c r="J1350" t="s">
        <v>518</v>
      </c>
      <c r="K1350" t="s">
        <v>358</v>
      </c>
      <c r="L1350" t="s">
        <v>191</v>
      </c>
      <c r="M1350" t="s">
        <v>6</v>
      </c>
    </row>
    <row r="1351" spans="1:13" x14ac:dyDescent="0.25">
      <c r="A1351" s="3" t="s">
        <v>190</v>
      </c>
      <c r="B1351" s="4">
        <v>8</v>
      </c>
      <c r="C1351" s="4"/>
      <c r="D1351" s="4" t="s">
        <v>191</v>
      </c>
      <c r="E1351" s="4" t="s">
        <v>6</v>
      </c>
      <c r="F1351">
        <f>COUNTIFS($D$2:D1351,D1351)</f>
        <v>8</v>
      </c>
      <c r="G1351" t="str">
        <f t="shared" si="21"/>
        <v>3871M</v>
      </c>
      <c r="H1351">
        <v>5.4504833000000001</v>
      </c>
      <c r="I1351">
        <v>52.170560500000001</v>
      </c>
      <c r="J1351" t="s">
        <v>518</v>
      </c>
      <c r="K1351" t="s">
        <v>263</v>
      </c>
      <c r="L1351" t="s">
        <v>191</v>
      </c>
      <c r="M1351" t="s">
        <v>6</v>
      </c>
    </row>
    <row r="1352" spans="1:13" x14ac:dyDescent="0.25">
      <c r="A1352" s="3" t="s">
        <v>190</v>
      </c>
      <c r="B1352" s="4">
        <v>9</v>
      </c>
      <c r="C1352" s="4"/>
      <c r="D1352" s="4" t="s">
        <v>191</v>
      </c>
      <c r="E1352" s="4" t="s">
        <v>6</v>
      </c>
      <c r="F1352">
        <f>COUNTIFS($D$2:D1352,D1352)</f>
        <v>9</v>
      </c>
      <c r="G1352" t="str">
        <f t="shared" si="21"/>
        <v>3871M</v>
      </c>
      <c r="H1352">
        <v>5.4511405000000002</v>
      </c>
      <c r="I1352">
        <v>52.170191699999997</v>
      </c>
      <c r="J1352" t="s">
        <v>518</v>
      </c>
      <c r="K1352" t="s">
        <v>382</v>
      </c>
      <c r="L1352" t="s">
        <v>191</v>
      </c>
      <c r="M1352" t="s">
        <v>6</v>
      </c>
    </row>
    <row r="1353" spans="1:13" x14ac:dyDescent="0.25">
      <c r="A1353" s="3" t="s">
        <v>190</v>
      </c>
      <c r="B1353" s="4">
        <v>10</v>
      </c>
      <c r="C1353" s="4"/>
      <c r="D1353" s="4" t="s">
        <v>191</v>
      </c>
      <c r="E1353" s="4" t="s">
        <v>6</v>
      </c>
      <c r="F1353">
        <f>COUNTIFS($D$2:D1353,D1353)</f>
        <v>10</v>
      </c>
      <c r="G1353" t="str">
        <f t="shared" si="21"/>
        <v>3871M</v>
      </c>
      <c r="H1353">
        <v>5.4504539000000003</v>
      </c>
      <c r="I1353">
        <v>52.170470700000003</v>
      </c>
      <c r="J1353" t="s">
        <v>518</v>
      </c>
      <c r="K1353" t="s">
        <v>264</v>
      </c>
      <c r="L1353" t="s">
        <v>191</v>
      </c>
      <c r="M1353" t="s">
        <v>6</v>
      </c>
    </row>
    <row r="1354" spans="1:13" x14ac:dyDescent="0.25">
      <c r="A1354" s="3" t="s">
        <v>190</v>
      </c>
      <c r="B1354" s="4">
        <v>11</v>
      </c>
      <c r="C1354" s="4"/>
      <c r="D1354" s="4" t="s">
        <v>191</v>
      </c>
      <c r="E1354" s="4" t="s">
        <v>6</v>
      </c>
      <c r="F1354">
        <f>COUNTIFS($D$2:D1354,D1354)</f>
        <v>11</v>
      </c>
      <c r="G1354" t="str">
        <f t="shared" si="21"/>
        <v>3871M</v>
      </c>
      <c r="H1354">
        <v>5.4511403999999999</v>
      </c>
      <c r="I1354">
        <v>52.170137699999998</v>
      </c>
      <c r="J1354" t="s">
        <v>518</v>
      </c>
      <c r="K1354" t="s">
        <v>391</v>
      </c>
      <c r="L1354" t="s">
        <v>191</v>
      </c>
      <c r="M1354" t="s">
        <v>6</v>
      </c>
    </row>
    <row r="1355" spans="1:13" x14ac:dyDescent="0.25">
      <c r="A1355" s="3" t="s">
        <v>190</v>
      </c>
      <c r="B1355" s="4">
        <v>12</v>
      </c>
      <c r="C1355" s="4"/>
      <c r="D1355" s="4" t="s">
        <v>191</v>
      </c>
      <c r="E1355" s="4" t="s">
        <v>6</v>
      </c>
      <c r="F1355">
        <f>COUNTIFS($D$2:D1355,D1355)</f>
        <v>12</v>
      </c>
      <c r="G1355" t="str">
        <f t="shared" si="21"/>
        <v>3871M</v>
      </c>
      <c r="H1355">
        <v>5.4504538</v>
      </c>
      <c r="I1355">
        <v>52.1704078</v>
      </c>
      <c r="J1355" t="s">
        <v>518</v>
      </c>
      <c r="K1355" t="s">
        <v>265</v>
      </c>
      <c r="L1355" t="s">
        <v>191</v>
      </c>
      <c r="M1355" t="s">
        <v>6</v>
      </c>
    </row>
    <row r="1356" spans="1:13" x14ac:dyDescent="0.25">
      <c r="A1356" s="3" t="s">
        <v>190</v>
      </c>
      <c r="B1356" s="4">
        <v>13</v>
      </c>
      <c r="C1356" s="4"/>
      <c r="D1356" s="4" t="s">
        <v>191</v>
      </c>
      <c r="E1356" s="4" t="s">
        <v>6</v>
      </c>
      <c r="F1356">
        <f>COUNTIFS($D$2:D1356,D1356)</f>
        <v>13</v>
      </c>
      <c r="G1356" t="str">
        <f t="shared" si="21"/>
        <v>3871M</v>
      </c>
      <c r="H1356">
        <v>5.451155</v>
      </c>
      <c r="I1356">
        <v>52.170074800000002</v>
      </c>
      <c r="J1356" t="s">
        <v>518</v>
      </c>
      <c r="K1356" t="s">
        <v>359</v>
      </c>
      <c r="L1356" t="s">
        <v>191</v>
      </c>
      <c r="M1356" t="s">
        <v>6</v>
      </c>
    </row>
    <row r="1357" spans="1:13" x14ac:dyDescent="0.25">
      <c r="A1357" s="3" t="s">
        <v>190</v>
      </c>
      <c r="B1357" s="4">
        <v>14</v>
      </c>
      <c r="C1357" s="4"/>
      <c r="D1357" s="4" t="s">
        <v>191</v>
      </c>
      <c r="E1357" s="4" t="s">
        <v>6</v>
      </c>
      <c r="F1357">
        <f>COUNTIFS($D$2:D1357,D1357)</f>
        <v>14</v>
      </c>
      <c r="G1357" t="str">
        <f t="shared" si="21"/>
        <v>3871M</v>
      </c>
      <c r="H1357">
        <v>5.4505267999999996</v>
      </c>
      <c r="I1357">
        <v>52.170344800000002</v>
      </c>
      <c r="J1357" t="s">
        <v>518</v>
      </c>
      <c r="K1357" t="s">
        <v>266</v>
      </c>
      <c r="L1357" t="s">
        <v>191</v>
      </c>
      <c r="M1357" t="s">
        <v>6</v>
      </c>
    </row>
    <row r="1358" spans="1:13" x14ac:dyDescent="0.25">
      <c r="A1358" s="3" t="s">
        <v>190</v>
      </c>
      <c r="B1358" s="4">
        <v>16</v>
      </c>
      <c r="C1358" s="4"/>
      <c r="D1358" s="4" t="s">
        <v>191</v>
      </c>
      <c r="E1358" s="4" t="s">
        <v>6</v>
      </c>
      <c r="F1358">
        <f>COUNTIFS($D$2:D1358,D1358)</f>
        <v>15</v>
      </c>
      <c r="G1358" t="str">
        <f t="shared" si="21"/>
        <v>3871M</v>
      </c>
      <c r="H1358">
        <v>5.4505267000000002</v>
      </c>
      <c r="I1358">
        <v>52.170290899999998</v>
      </c>
      <c r="J1358" t="s">
        <v>518</v>
      </c>
      <c r="K1358" t="s">
        <v>371</v>
      </c>
      <c r="L1358" t="s">
        <v>191</v>
      </c>
      <c r="M1358" t="s">
        <v>6</v>
      </c>
    </row>
    <row r="1359" spans="1:13" x14ac:dyDescent="0.25">
      <c r="A1359" s="3" t="s">
        <v>190</v>
      </c>
      <c r="B1359" s="4">
        <v>18</v>
      </c>
      <c r="C1359" s="4"/>
      <c r="D1359" s="4" t="s">
        <v>191</v>
      </c>
      <c r="E1359" s="4" t="s">
        <v>6</v>
      </c>
      <c r="F1359">
        <f>COUNTIFS($D$2:D1359,D1359)</f>
        <v>16</v>
      </c>
      <c r="G1359" t="str">
        <f t="shared" si="21"/>
        <v>3871M</v>
      </c>
      <c r="H1359">
        <v>5.4506142999999998</v>
      </c>
      <c r="I1359">
        <v>52.170174000000003</v>
      </c>
      <c r="J1359" t="s">
        <v>518</v>
      </c>
      <c r="K1359" t="s">
        <v>267</v>
      </c>
      <c r="L1359" t="s">
        <v>191</v>
      </c>
      <c r="M1359" t="s">
        <v>6</v>
      </c>
    </row>
    <row r="1360" spans="1:13" x14ac:dyDescent="0.25">
      <c r="A1360" s="3" t="s">
        <v>190</v>
      </c>
      <c r="B1360" s="4">
        <v>20</v>
      </c>
      <c r="C1360" s="4"/>
      <c r="D1360" s="4" t="s">
        <v>191</v>
      </c>
      <c r="E1360" s="4" t="s">
        <v>6</v>
      </c>
      <c r="F1360">
        <f>COUNTIFS($D$2:D1360,D1360)</f>
        <v>17</v>
      </c>
      <c r="G1360" t="str">
        <f t="shared" si="21"/>
        <v>3871M</v>
      </c>
      <c r="H1360">
        <v>5.4506142000000004</v>
      </c>
      <c r="I1360">
        <v>52.1701111</v>
      </c>
      <c r="J1360" t="s">
        <v>518</v>
      </c>
      <c r="K1360" t="s">
        <v>372</v>
      </c>
      <c r="L1360" t="s">
        <v>191</v>
      </c>
      <c r="M1360" t="s">
        <v>6</v>
      </c>
    </row>
    <row r="1361" spans="1:13" x14ac:dyDescent="0.25">
      <c r="A1361" s="3" t="s">
        <v>190</v>
      </c>
      <c r="B1361" s="4">
        <v>22</v>
      </c>
      <c r="C1361" s="4"/>
      <c r="D1361" s="4" t="s">
        <v>191</v>
      </c>
      <c r="E1361" s="4" t="s">
        <v>6</v>
      </c>
      <c r="F1361">
        <f>COUNTIFS($D$2:D1361,D1361)</f>
        <v>18</v>
      </c>
      <c r="G1361" t="str">
        <f t="shared" si="21"/>
        <v>3871M</v>
      </c>
      <c r="H1361">
        <v>5.4506872</v>
      </c>
      <c r="I1361">
        <v>52.170048100000002</v>
      </c>
      <c r="J1361" t="s">
        <v>518</v>
      </c>
      <c r="K1361" t="s">
        <v>269</v>
      </c>
      <c r="L1361" t="s">
        <v>191</v>
      </c>
      <c r="M1361" t="s">
        <v>6</v>
      </c>
    </row>
    <row r="1362" spans="1:13" x14ac:dyDescent="0.25">
      <c r="A1362" s="3" t="s">
        <v>190</v>
      </c>
      <c r="B1362" s="4">
        <v>24</v>
      </c>
      <c r="C1362" s="4"/>
      <c r="D1362" s="4" t="s">
        <v>191</v>
      </c>
      <c r="E1362" s="4" t="s">
        <v>6</v>
      </c>
      <c r="F1362">
        <f>COUNTIFS($D$2:D1362,D1362)</f>
        <v>19</v>
      </c>
      <c r="G1362" t="str">
        <f t="shared" si="21"/>
        <v>3871M</v>
      </c>
      <c r="H1362">
        <v>5.4507016999999998</v>
      </c>
      <c r="I1362">
        <v>52.169994199999998</v>
      </c>
      <c r="J1362" t="s">
        <v>518</v>
      </c>
      <c r="K1362" t="s">
        <v>270</v>
      </c>
      <c r="L1362" t="s">
        <v>191</v>
      </c>
      <c r="M1362" t="s">
        <v>6</v>
      </c>
    </row>
    <row r="1363" spans="1:13" x14ac:dyDescent="0.25">
      <c r="A1363" s="3" t="s">
        <v>192</v>
      </c>
      <c r="B1363" s="4">
        <v>1</v>
      </c>
      <c r="C1363" s="4"/>
      <c r="D1363" s="4" t="s">
        <v>193</v>
      </c>
      <c r="E1363" s="4" t="s">
        <v>6</v>
      </c>
      <c r="F1363">
        <f>COUNTIFS($D$2:D1363,D1363)</f>
        <v>1</v>
      </c>
      <c r="G1363" t="str">
        <f t="shared" si="21"/>
        <v>3871M</v>
      </c>
      <c r="H1363">
        <v>5.4490236000000003</v>
      </c>
      <c r="I1363">
        <v>52.172080299999998</v>
      </c>
      <c r="J1363" t="s">
        <v>519</v>
      </c>
      <c r="K1363" t="s">
        <v>355</v>
      </c>
      <c r="L1363" t="s">
        <v>193</v>
      </c>
      <c r="M1363" t="s">
        <v>6</v>
      </c>
    </row>
    <row r="1364" spans="1:13" x14ac:dyDescent="0.25">
      <c r="A1364" s="3" t="s">
        <v>192</v>
      </c>
      <c r="B1364" s="4">
        <v>3</v>
      </c>
      <c r="C1364" s="4"/>
      <c r="D1364" s="4" t="s">
        <v>193</v>
      </c>
      <c r="E1364" s="4" t="s">
        <v>6</v>
      </c>
      <c r="F1364">
        <f>COUNTIFS($D$2:D1364,D1364)</f>
        <v>2</v>
      </c>
      <c r="G1364" t="str">
        <f t="shared" si="21"/>
        <v>3871M</v>
      </c>
      <c r="H1364">
        <v>5.4490381000000001</v>
      </c>
      <c r="I1364">
        <v>52.1720173</v>
      </c>
      <c r="J1364" t="s">
        <v>519</v>
      </c>
      <c r="K1364" t="s">
        <v>356</v>
      </c>
      <c r="L1364" t="s">
        <v>193</v>
      </c>
      <c r="M1364" t="s">
        <v>6</v>
      </c>
    </row>
    <row r="1365" spans="1:13" x14ac:dyDescent="0.25">
      <c r="A1365" s="3" t="s">
        <v>192</v>
      </c>
      <c r="B1365" s="4">
        <v>5</v>
      </c>
      <c r="C1365" s="4"/>
      <c r="D1365" s="4" t="s">
        <v>193</v>
      </c>
      <c r="E1365" s="4" t="s">
        <v>6</v>
      </c>
      <c r="F1365">
        <f>COUNTIFS($D$2:D1365,D1365)</f>
        <v>3</v>
      </c>
      <c r="G1365" t="str">
        <f t="shared" si="21"/>
        <v>3871M</v>
      </c>
      <c r="H1365">
        <v>5.4490381000000001</v>
      </c>
      <c r="I1365">
        <v>52.171963400000003</v>
      </c>
      <c r="J1365" t="s">
        <v>519</v>
      </c>
      <c r="K1365" t="s">
        <v>357</v>
      </c>
      <c r="L1365" t="s">
        <v>193</v>
      </c>
      <c r="M1365" t="s">
        <v>6</v>
      </c>
    </row>
    <row r="1366" spans="1:13" x14ac:dyDescent="0.25">
      <c r="A1366" s="3" t="s">
        <v>192</v>
      </c>
      <c r="B1366" s="4">
        <v>7</v>
      </c>
      <c r="C1366" s="4"/>
      <c r="D1366" s="4" t="s">
        <v>193</v>
      </c>
      <c r="E1366" s="4" t="s">
        <v>6</v>
      </c>
      <c r="F1366">
        <f>COUNTIFS($D$2:D1366,D1366)</f>
        <v>4</v>
      </c>
      <c r="G1366" t="str">
        <f t="shared" si="21"/>
        <v>3871M</v>
      </c>
      <c r="H1366">
        <v>5.4490525999999999</v>
      </c>
      <c r="I1366">
        <v>52.171909499999998</v>
      </c>
      <c r="J1366" t="s">
        <v>519</v>
      </c>
      <c r="K1366" t="s">
        <v>358</v>
      </c>
      <c r="L1366" t="s">
        <v>193</v>
      </c>
      <c r="M1366" t="s">
        <v>6</v>
      </c>
    </row>
    <row r="1367" spans="1:13" x14ac:dyDescent="0.25">
      <c r="A1367" s="3" t="s">
        <v>192</v>
      </c>
      <c r="B1367" s="4">
        <v>9</v>
      </c>
      <c r="C1367" s="4"/>
      <c r="D1367" s="4" t="s">
        <v>193</v>
      </c>
      <c r="E1367" s="4" t="s">
        <v>6</v>
      </c>
      <c r="F1367">
        <f>COUNTIFS($D$2:D1367,D1367)</f>
        <v>5</v>
      </c>
      <c r="G1367" t="str">
        <f t="shared" si="21"/>
        <v>3871M</v>
      </c>
      <c r="H1367">
        <v>5.4496376</v>
      </c>
      <c r="I1367">
        <v>52.172097899999997</v>
      </c>
      <c r="J1367" t="s">
        <v>519</v>
      </c>
      <c r="K1367" t="s">
        <v>382</v>
      </c>
      <c r="L1367" t="s">
        <v>193</v>
      </c>
      <c r="M1367" t="s">
        <v>6</v>
      </c>
    </row>
    <row r="1368" spans="1:13" x14ac:dyDescent="0.25">
      <c r="A1368" s="3" t="s">
        <v>192</v>
      </c>
      <c r="B1368" s="4">
        <v>11</v>
      </c>
      <c r="C1368" s="4"/>
      <c r="D1368" s="4" t="s">
        <v>193</v>
      </c>
      <c r="E1368" s="4" t="s">
        <v>6</v>
      </c>
      <c r="F1368">
        <f>COUNTIFS($D$2:D1368,D1368)</f>
        <v>6</v>
      </c>
      <c r="G1368" t="str">
        <f t="shared" si="21"/>
        <v>3871M</v>
      </c>
      <c r="H1368">
        <v>5.4496374999999997</v>
      </c>
      <c r="I1368">
        <v>52.172044</v>
      </c>
      <c r="J1368" t="s">
        <v>519</v>
      </c>
      <c r="K1368" t="s">
        <v>391</v>
      </c>
      <c r="L1368" t="s">
        <v>193</v>
      </c>
      <c r="M1368" t="s">
        <v>6</v>
      </c>
    </row>
    <row r="1369" spans="1:13" x14ac:dyDescent="0.25">
      <c r="A1369" s="3" t="s">
        <v>192</v>
      </c>
      <c r="B1369" s="4">
        <v>13</v>
      </c>
      <c r="C1369" s="4"/>
      <c r="D1369" s="4" t="s">
        <v>193</v>
      </c>
      <c r="E1369" s="4" t="s">
        <v>6</v>
      </c>
      <c r="F1369">
        <f>COUNTIFS($D$2:D1369,D1369)</f>
        <v>7</v>
      </c>
      <c r="G1369" t="str">
        <f t="shared" si="21"/>
        <v>3871M</v>
      </c>
      <c r="H1369">
        <v>5.4496374000000003</v>
      </c>
      <c r="I1369">
        <v>52.171990100000002</v>
      </c>
      <c r="J1369" t="s">
        <v>519</v>
      </c>
      <c r="K1369" t="s">
        <v>359</v>
      </c>
      <c r="L1369" t="s">
        <v>193</v>
      </c>
      <c r="M1369" t="s">
        <v>6</v>
      </c>
    </row>
    <row r="1370" spans="1:13" x14ac:dyDescent="0.25">
      <c r="A1370" s="3" t="s">
        <v>192</v>
      </c>
      <c r="B1370" s="4">
        <v>15</v>
      </c>
      <c r="C1370" s="4"/>
      <c r="D1370" s="4" t="s">
        <v>193</v>
      </c>
      <c r="E1370" s="4" t="s">
        <v>6</v>
      </c>
      <c r="F1370">
        <f>COUNTIFS($D$2:D1370,D1370)</f>
        <v>8</v>
      </c>
      <c r="G1370" t="str">
        <f t="shared" si="21"/>
        <v>3871M</v>
      </c>
      <c r="H1370">
        <v>5.4496520000000004</v>
      </c>
      <c r="I1370">
        <v>52.171936100000003</v>
      </c>
      <c r="J1370" t="s">
        <v>519</v>
      </c>
      <c r="K1370" t="s">
        <v>383</v>
      </c>
      <c r="L1370" t="s">
        <v>193</v>
      </c>
      <c r="M1370" t="s">
        <v>6</v>
      </c>
    </row>
    <row r="1371" spans="1:13" x14ac:dyDescent="0.25">
      <c r="A1371" s="3" t="s">
        <v>192</v>
      </c>
      <c r="B1371" s="4">
        <v>17</v>
      </c>
      <c r="C1371" s="4"/>
      <c r="D1371" s="4" t="s">
        <v>193</v>
      </c>
      <c r="E1371" s="4" t="s">
        <v>6</v>
      </c>
      <c r="F1371">
        <f>COUNTIFS($D$2:D1371,D1371)</f>
        <v>9</v>
      </c>
      <c r="G1371" t="str">
        <f t="shared" si="21"/>
        <v>3871M</v>
      </c>
      <c r="H1371">
        <v>5.4497834000000003</v>
      </c>
      <c r="I1371">
        <v>52.171855200000003</v>
      </c>
      <c r="J1371" t="s">
        <v>519</v>
      </c>
      <c r="K1371" t="s">
        <v>360</v>
      </c>
      <c r="L1371" t="s">
        <v>193</v>
      </c>
      <c r="M1371" t="s">
        <v>6</v>
      </c>
    </row>
    <row r="1372" spans="1:13" x14ac:dyDescent="0.25">
      <c r="A1372" s="3" t="s">
        <v>192</v>
      </c>
      <c r="B1372" s="4">
        <v>19</v>
      </c>
      <c r="C1372" s="4"/>
      <c r="D1372" s="4" t="s">
        <v>193</v>
      </c>
      <c r="E1372" s="4" t="s">
        <v>6</v>
      </c>
      <c r="F1372">
        <f>COUNTIFS($D$2:D1372,D1372)</f>
        <v>10</v>
      </c>
      <c r="G1372" t="str">
        <f t="shared" si="21"/>
        <v>3871M</v>
      </c>
      <c r="H1372">
        <v>5.4497980000000004</v>
      </c>
      <c r="I1372">
        <v>52.171810200000003</v>
      </c>
      <c r="J1372" t="s">
        <v>519</v>
      </c>
      <c r="K1372" t="s">
        <v>361</v>
      </c>
      <c r="L1372" t="s">
        <v>193</v>
      </c>
      <c r="M1372" t="s">
        <v>6</v>
      </c>
    </row>
    <row r="1373" spans="1:13" x14ac:dyDescent="0.25">
      <c r="A1373" s="3" t="s">
        <v>192</v>
      </c>
      <c r="B1373" s="4">
        <v>21</v>
      </c>
      <c r="C1373" s="4"/>
      <c r="D1373" s="4" t="s">
        <v>193</v>
      </c>
      <c r="E1373" s="4" t="s">
        <v>6</v>
      </c>
      <c r="F1373">
        <f>COUNTIFS($D$2:D1373,D1373)</f>
        <v>11</v>
      </c>
      <c r="G1373" t="str">
        <f t="shared" si="21"/>
        <v>3871M</v>
      </c>
      <c r="H1373">
        <v>5.4497979000000001</v>
      </c>
      <c r="I1373">
        <v>52.171756299999998</v>
      </c>
      <c r="J1373" t="s">
        <v>519</v>
      </c>
      <c r="K1373" t="s">
        <v>362</v>
      </c>
      <c r="L1373" t="s">
        <v>193</v>
      </c>
      <c r="M1373" t="s">
        <v>6</v>
      </c>
    </row>
    <row r="1374" spans="1:13" x14ac:dyDescent="0.25">
      <c r="A1374" s="3" t="s">
        <v>192</v>
      </c>
      <c r="B1374" s="4">
        <v>23</v>
      </c>
      <c r="C1374" s="4"/>
      <c r="D1374" s="4" t="s">
        <v>193</v>
      </c>
      <c r="E1374" s="4" t="s">
        <v>6</v>
      </c>
      <c r="F1374">
        <f>COUNTIFS($D$2:D1374,D1374)</f>
        <v>12</v>
      </c>
      <c r="G1374" t="str">
        <f t="shared" si="21"/>
        <v>3871M</v>
      </c>
      <c r="H1374">
        <v>5.4498123999999999</v>
      </c>
      <c r="I1374">
        <v>52.171702400000001</v>
      </c>
      <c r="J1374" t="s">
        <v>519</v>
      </c>
      <c r="K1374" t="s">
        <v>384</v>
      </c>
      <c r="L1374" t="s">
        <v>193</v>
      </c>
      <c r="M1374" t="s">
        <v>6</v>
      </c>
    </row>
    <row r="1375" spans="1:13" x14ac:dyDescent="0.25">
      <c r="A1375" s="3" t="s">
        <v>192</v>
      </c>
      <c r="B1375" s="4">
        <v>25</v>
      </c>
      <c r="C1375" s="4"/>
      <c r="D1375" s="4" t="s">
        <v>193</v>
      </c>
      <c r="E1375" s="4" t="s">
        <v>6</v>
      </c>
      <c r="F1375">
        <f>COUNTIFS($D$2:D1375,D1375)</f>
        <v>13</v>
      </c>
      <c r="G1375" t="str">
        <f t="shared" si="21"/>
        <v>3871M</v>
      </c>
      <c r="H1375">
        <v>5.449827</v>
      </c>
      <c r="I1375">
        <v>52.171648400000002</v>
      </c>
      <c r="J1375" t="s">
        <v>519</v>
      </c>
      <c r="K1375" t="s">
        <v>385</v>
      </c>
      <c r="L1375" t="s">
        <v>193</v>
      </c>
      <c r="M1375" t="s">
        <v>6</v>
      </c>
    </row>
    <row r="1376" spans="1:13" x14ac:dyDescent="0.25">
      <c r="A1376" s="3" t="s">
        <v>192</v>
      </c>
      <c r="B1376" s="4">
        <v>27</v>
      </c>
      <c r="C1376" s="4"/>
      <c r="D1376" s="4" t="s">
        <v>193</v>
      </c>
      <c r="E1376" s="4" t="s">
        <v>6</v>
      </c>
      <c r="F1376">
        <f>COUNTIFS($D$2:D1376,D1376)</f>
        <v>14</v>
      </c>
      <c r="G1376" t="str">
        <f t="shared" si="21"/>
        <v>3871M</v>
      </c>
      <c r="H1376">
        <v>5.4498268999999997</v>
      </c>
      <c r="I1376">
        <v>52.171594499999998</v>
      </c>
      <c r="J1376" t="s">
        <v>519</v>
      </c>
      <c r="K1376" t="s">
        <v>393</v>
      </c>
      <c r="L1376" t="s">
        <v>193</v>
      </c>
      <c r="M1376" t="s">
        <v>6</v>
      </c>
    </row>
    <row r="1377" spans="1:13" x14ac:dyDescent="0.25">
      <c r="A1377" s="3" t="s">
        <v>192</v>
      </c>
      <c r="B1377" s="4">
        <v>29</v>
      </c>
      <c r="C1377" s="4"/>
      <c r="D1377" s="4" t="s">
        <v>193</v>
      </c>
      <c r="E1377" s="4" t="s">
        <v>6</v>
      </c>
      <c r="F1377">
        <f>COUNTIFS($D$2:D1377,D1377)</f>
        <v>15</v>
      </c>
      <c r="G1377" t="str">
        <f t="shared" si="21"/>
        <v>3871M</v>
      </c>
      <c r="H1377">
        <v>5.4497097999999999</v>
      </c>
      <c r="I1377">
        <v>52.1715047</v>
      </c>
      <c r="J1377" t="s">
        <v>519</v>
      </c>
      <c r="K1377" t="s">
        <v>364</v>
      </c>
      <c r="L1377" t="s">
        <v>193</v>
      </c>
      <c r="M1377" t="s">
        <v>6</v>
      </c>
    </row>
    <row r="1378" spans="1:13" x14ac:dyDescent="0.25">
      <c r="A1378" s="3" t="s">
        <v>192</v>
      </c>
      <c r="B1378" s="4">
        <v>31</v>
      </c>
      <c r="C1378" s="4"/>
      <c r="D1378" s="4" t="s">
        <v>193</v>
      </c>
      <c r="E1378" s="4" t="s">
        <v>6</v>
      </c>
      <c r="F1378">
        <f>COUNTIFS($D$2:D1378,D1378)</f>
        <v>16</v>
      </c>
      <c r="G1378" t="str">
        <f t="shared" si="21"/>
        <v>3871M</v>
      </c>
      <c r="H1378">
        <v>5.4497097999999999</v>
      </c>
      <c r="I1378">
        <v>52.171450700000001</v>
      </c>
      <c r="J1378" t="s">
        <v>519</v>
      </c>
      <c r="K1378" t="s">
        <v>323</v>
      </c>
      <c r="L1378" t="s">
        <v>193</v>
      </c>
      <c r="M1378" t="s">
        <v>6</v>
      </c>
    </row>
    <row r="1379" spans="1:13" x14ac:dyDescent="0.25">
      <c r="A1379" s="3" t="s">
        <v>192</v>
      </c>
      <c r="B1379" s="4">
        <v>33</v>
      </c>
      <c r="C1379" s="4"/>
      <c r="D1379" s="4" t="s">
        <v>193</v>
      </c>
      <c r="E1379" s="4" t="s">
        <v>6</v>
      </c>
      <c r="F1379">
        <f>COUNTIFS($D$2:D1379,D1379)</f>
        <v>17</v>
      </c>
      <c r="G1379" t="str">
        <f t="shared" si="21"/>
        <v>3871M</v>
      </c>
      <c r="H1379">
        <v>5.4497096999999997</v>
      </c>
      <c r="I1379">
        <v>52.171396799999997</v>
      </c>
      <c r="J1379" t="s">
        <v>519</v>
      </c>
      <c r="K1379" t="s">
        <v>365</v>
      </c>
      <c r="L1379" t="s">
        <v>193</v>
      </c>
      <c r="M1379" t="s">
        <v>6</v>
      </c>
    </row>
    <row r="1380" spans="1:13" x14ac:dyDescent="0.25">
      <c r="A1380" s="3" t="s">
        <v>192</v>
      </c>
      <c r="B1380" s="4">
        <v>35</v>
      </c>
      <c r="C1380" s="4"/>
      <c r="D1380" s="4" t="s">
        <v>193</v>
      </c>
      <c r="E1380" s="4" t="s">
        <v>6</v>
      </c>
      <c r="F1380">
        <f>COUNTIFS($D$2:D1380,D1380)</f>
        <v>18</v>
      </c>
      <c r="G1380" t="str">
        <f t="shared" si="21"/>
        <v>3871M</v>
      </c>
      <c r="H1380">
        <v>5.4497242000000004</v>
      </c>
      <c r="I1380">
        <v>52.171351899999998</v>
      </c>
      <c r="J1380" t="s">
        <v>519</v>
      </c>
      <c r="K1380" t="s">
        <v>366</v>
      </c>
      <c r="L1380" t="s">
        <v>193</v>
      </c>
      <c r="M1380" t="s">
        <v>6</v>
      </c>
    </row>
    <row r="1381" spans="1:13" x14ac:dyDescent="0.25">
      <c r="A1381" s="3" t="s">
        <v>194</v>
      </c>
      <c r="B1381" s="4">
        <v>2</v>
      </c>
      <c r="C1381" s="4"/>
      <c r="D1381" s="4" t="s">
        <v>193</v>
      </c>
      <c r="E1381" s="4" t="s">
        <v>6</v>
      </c>
      <c r="F1381">
        <f>COUNTIFS($D$2:D1381,D1381)</f>
        <v>19</v>
      </c>
      <c r="G1381" t="str">
        <f t="shared" si="21"/>
        <v>3871M</v>
      </c>
      <c r="H1381">
        <v>5.4485557</v>
      </c>
      <c r="I1381">
        <v>52.172026600000002</v>
      </c>
      <c r="J1381" t="s">
        <v>520</v>
      </c>
      <c r="K1381" t="s">
        <v>370</v>
      </c>
      <c r="L1381" t="s">
        <v>193</v>
      </c>
      <c r="M1381" t="s">
        <v>6</v>
      </c>
    </row>
    <row r="1382" spans="1:13" x14ac:dyDescent="0.25">
      <c r="A1382" s="3" t="s">
        <v>194</v>
      </c>
      <c r="B1382" s="4">
        <v>4</v>
      </c>
      <c r="C1382" s="4"/>
      <c r="D1382" s="4" t="s">
        <v>193</v>
      </c>
      <c r="E1382" s="4" t="s">
        <v>6</v>
      </c>
      <c r="F1382">
        <f>COUNTIFS($D$2:D1382,D1382)</f>
        <v>20</v>
      </c>
      <c r="G1382" t="str">
        <f t="shared" si="21"/>
        <v>3871M</v>
      </c>
      <c r="H1382">
        <v>5.4485703000000001</v>
      </c>
      <c r="I1382">
        <v>52.171972599999997</v>
      </c>
      <c r="J1382" t="s">
        <v>520</v>
      </c>
      <c r="K1382" t="s">
        <v>260</v>
      </c>
      <c r="L1382" t="s">
        <v>193</v>
      </c>
      <c r="M1382" t="s">
        <v>6</v>
      </c>
    </row>
    <row r="1383" spans="1:13" x14ac:dyDescent="0.25">
      <c r="A1383" s="3" t="s">
        <v>194</v>
      </c>
      <c r="B1383" s="4">
        <v>6</v>
      </c>
      <c r="C1383" s="4"/>
      <c r="D1383" s="4" t="s">
        <v>193</v>
      </c>
      <c r="E1383" s="4" t="s">
        <v>6</v>
      </c>
      <c r="F1383">
        <f>COUNTIFS($D$2:D1383,D1383)</f>
        <v>21</v>
      </c>
      <c r="G1383" t="str">
        <f t="shared" si="21"/>
        <v>3871M</v>
      </c>
      <c r="H1383">
        <v>5.4485994</v>
      </c>
      <c r="I1383">
        <v>52.1718738</v>
      </c>
      <c r="J1383" t="s">
        <v>520</v>
      </c>
      <c r="K1383" t="s">
        <v>262</v>
      </c>
      <c r="L1383" t="s">
        <v>193</v>
      </c>
      <c r="M1383" t="s">
        <v>6</v>
      </c>
    </row>
    <row r="1384" spans="1:13" x14ac:dyDescent="0.25">
      <c r="A1384" s="3" t="s">
        <v>194</v>
      </c>
      <c r="B1384" s="4">
        <v>8</v>
      </c>
      <c r="C1384" s="4"/>
      <c r="D1384" s="4" t="s">
        <v>193</v>
      </c>
      <c r="E1384" s="4" t="s">
        <v>6</v>
      </c>
      <c r="F1384">
        <f>COUNTIFS($D$2:D1384,D1384)</f>
        <v>22</v>
      </c>
      <c r="G1384" t="str">
        <f t="shared" si="21"/>
        <v>3871M</v>
      </c>
      <c r="H1384">
        <v>5.4486138999999998</v>
      </c>
      <c r="I1384">
        <v>52.171810800000003</v>
      </c>
      <c r="J1384" t="s">
        <v>520</v>
      </c>
      <c r="K1384" t="s">
        <v>263</v>
      </c>
      <c r="L1384" t="s">
        <v>193</v>
      </c>
      <c r="M1384" t="s">
        <v>6</v>
      </c>
    </row>
    <row r="1385" spans="1:13" x14ac:dyDescent="0.25">
      <c r="A1385" s="3" t="s">
        <v>194</v>
      </c>
      <c r="B1385" s="4">
        <v>10</v>
      </c>
      <c r="C1385" s="4"/>
      <c r="D1385" s="4" t="s">
        <v>193</v>
      </c>
      <c r="E1385" s="4" t="s">
        <v>6</v>
      </c>
      <c r="F1385">
        <f>COUNTIFS($D$2:D1385,D1385)</f>
        <v>23</v>
      </c>
      <c r="G1385" t="str">
        <f t="shared" si="21"/>
        <v>3871M</v>
      </c>
      <c r="H1385">
        <v>5.4489352999999996</v>
      </c>
      <c r="I1385">
        <v>52.171684800000001</v>
      </c>
      <c r="J1385" t="s">
        <v>520</v>
      </c>
      <c r="K1385" t="s">
        <v>264</v>
      </c>
      <c r="L1385" t="s">
        <v>193</v>
      </c>
      <c r="M1385" t="s">
        <v>6</v>
      </c>
    </row>
    <row r="1386" spans="1:13" x14ac:dyDescent="0.25">
      <c r="A1386" s="3" t="s">
        <v>194</v>
      </c>
      <c r="B1386" s="4">
        <v>12</v>
      </c>
      <c r="C1386" s="4"/>
      <c r="D1386" s="4" t="s">
        <v>193</v>
      </c>
      <c r="E1386" s="4" t="s">
        <v>6</v>
      </c>
      <c r="F1386">
        <f>COUNTIFS($D$2:D1386,D1386)</f>
        <v>24</v>
      </c>
      <c r="G1386" t="str">
        <f t="shared" si="21"/>
        <v>3871M</v>
      </c>
      <c r="H1386">
        <v>5.4489352999999996</v>
      </c>
      <c r="I1386">
        <v>52.171630899999997</v>
      </c>
      <c r="J1386" t="s">
        <v>520</v>
      </c>
      <c r="K1386" t="s">
        <v>265</v>
      </c>
      <c r="L1386" t="s">
        <v>193</v>
      </c>
      <c r="M1386" t="s">
        <v>6</v>
      </c>
    </row>
    <row r="1387" spans="1:13" x14ac:dyDescent="0.25">
      <c r="A1387" s="3" t="s">
        <v>194</v>
      </c>
      <c r="B1387" s="4">
        <v>14</v>
      </c>
      <c r="C1387" s="4"/>
      <c r="D1387" s="4" t="s">
        <v>193</v>
      </c>
      <c r="E1387" s="4" t="s">
        <v>6</v>
      </c>
      <c r="F1387">
        <f>COUNTIFS($D$2:D1387,D1387)</f>
        <v>25</v>
      </c>
      <c r="G1387" t="str">
        <f t="shared" si="21"/>
        <v>3871M</v>
      </c>
      <c r="H1387">
        <v>5.4489497</v>
      </c>
      <c r="I1387">
        <v>52.171523100000002</v>
      </c>
      <c r="J1387" t="s">
        <v>520</v>
      </c>
      <c r="K1387" t="s">
        <v>266</v>
      </c>
      <c r="L1387" t="s">
        <v>193</v>
      </c>
      <c r="M1387" t="s">
        <v>6</v>
      </c>
    </row>
    <row r="1388" spans="1:13" x14ac:dyDescent="0.25">
      <c r="A1388" s="3" t="s">
        <v>194</v>
      </c>
      <c r="B1388" s="4">
        <v>16</v>
      </c>
      <c r="C1388" s="4"/>
      <c r="D1388" s="4" t="s">
        <v>193</v>
      </c>
      <c r="E1388" s="4" t="s">
        <v>6</v>
      </c>
      <c r="F1388">
        <f>COUNTIFS($D$2:D1388,D1388)</f>
        <v>26</v>
      </c>
      <c r="G1388" t="str">
        <f t="shared" si="21"/>
        <v>3871M</v>
      </c>
      <c r="H1388">
        <v>5.4489497</v>
      </c>
      <c r="I1388">
        <v>52.171478100000002</v>
      </c>
      <c r="J1388" t="s">
        <v>520</v>
      </c>
      <c r="K1388" t="s">
        <v>371</v>
      </c>
      <c r="L1388" t="s">
        <v>193</v>
      </c>
      <c r="M1388" t="s">
        <v>6</v>
      </c>
    </row>
    <row r="1389" spans="1:13" x14ac:dyDescent="0.25">
      <c r="A1389" s="3" t="s">
        <v>194</v>
      </c>
      <c r="B1389" s="4">
        <v>18</v>
      </c>
      <c r="C1389" s="4"/>
      <c r="D1389" s="4" t="s">
        <v>193</v>
      </c>
      <c r="E1389" s="4" t="s">
        <v>6</v>
      </c>
      <c r="F1389">
        <f>COUNTIFS($D$2:D1389,D1389)</f>
        <v>27</v>
      </c>
      <c r="G1389" t="str">
        <f t="shared" si="21"/>
        <v>3871M</v>
      </c>
      <c r="H1389">
        <v>5.4490226000000002</v>
      </c>
      <c r="I1389">
        <v>52.171370199999998</v>
      </c>
      <c r="J1389" t="s">
        <v>520</v>
      </c>
      <c r="K1389" t="s">
        <v>267</v>
      </c>
      <c r="L1389" t="s">
        <v>193</v>
      </c>
      <c r="M1389" t="s">
        <v>6</v>
      </c>
    </row>
    <row r="1390" spans="1:13" x14ac:dyDescent="0.25">
      <c r="A1390" s="3" t="s">
        <v>194</v>
      </c>
      <c r="B1390" s="4">
        <v>20</v>
      </c>
      <c r="C1390" s="4"/>
      <c r="D1390" s="4" t="s">
        <v>193</v>
      </c>
      <c r="E1390" s="4" t="s">
        <v>6</v>
      </c>
      <c r="F1390">
        <f>COUNTIFS($D$2:D1390,D1390)</f>
        <v>28</v>
      </c>
      <c r="G1390" t="str">
        <f t="shared" si="21"/>
        <v>3871M</v>
      </c>
      <c r="H1390">
        <v>5.4490372000000002</v>
      </c>
      <c r="I1390">
        <v>52.171316300000001</v>
      </c>
      <c r="J1390" t="s">
        <v>520</v>
      </c>
      <c r="K1390" t="s">
        <v>372</v>
      </c>
      <c r="L1390" t="s">
        <v>193</v>
      </c>
      <c r="M1390" t="s">
        <v>6</v>
      </c>
    </row>
    <row r="1391" spans="1:13" x14ac:dyDescent="0.25">
      <c r="A1391" s="3" t="s">
        <v>194</v>
      </c>
      <c r="B1391" s="4">
        <v>22</v>
      </c>
      <c r="C1391" s="4"/>
      <c r="D1391" s="4" t="s">
        <v>193</v>
      </c>
      <c r="E1391" s="4" t="s">
        <v>6</v>
      </c>
      <c r="F1391">
        <f>COUNTIFS($D$2:D1391,D1391)</f>
        <v>29</v>
      </c>
      <c r="G1391" t="str">
        <f t="shared" si="21"/>
        <v>3871M</v>
      </c>
      <c r="H1391">
        <v>5.4491132000000002</v>
      </c>
      <c r="I1391">
        <v>52.1710663</v>
      </c>
      <c r="J1391" t="s">
        <v>520</v>
      </c>
      <c r="K1391" t="s">
        <v>269</v>
      </c>
      <c r="L1391" t="s">
        <v>193</v>
      </c>
      <c r="M1391" t="s">
        <v>6</v>
      </c>
    </row>
    <row r="1392" spans="1:13" x14ac:dyDescent="0.25">
      <c r="A1392" s="3" t="s">
        <v>194</v>
      </c>
      <c r="B1392" s="4">
        <v>24</v>
      </c>
      <c r="C1392" s="4"/>
      <c r="D1392" s="4" t="s">
        <v>193</v>
      </c>
      <c r="E1392" s="4" t="s">
        <v>6</v>
      </c>
      <c r="F1392">
        <f>COUNTIFS($D$2:D1392,D1392)</f>
        <v>30</v>
      </c>
      <c r="G1392" t="str">
        <f t="shared" si="21"/>
        <v>3871M</v>
      </c>
      <c r="H1392">
        <v>5.4492018</v>
      </c>
      <c r="I1392">
        <v>52.1710809</v>
      </c>
      <c r="J1392" t="s">
        <v>520</v>
      </c>
      <c r="K1392" t="s">
        <v>270</v>
      </c>
      <c r="L1392" t="s">
        <v>193</v>
      </c>
      <c r="M1392" t="s">
        <v>6</v>
      </c>
    </row>
    <row r="1393" spans="1:13" x14ac:dyDescent="0.25">
      <c r="A1393" s="3" t="s">
        <v>194</v>
      </c>
      <c r="B1393" s="4">
        <v>26</v>
      </c>
      <c r="C1393" s="4"/>
      <c r="D1393" s="4" t="s">
        <v>193</v>
      </c>
      <c r="E1393" s="4" t="s">
        <v>6</v>
      </c>
      <c r="F1393">
        <f>COUNTIFS($D$2:D1393,D1393)</f>
        <v>31</v>
      </c>
      <c r="G1393" t="str">
        <f t="shared" si="21"/>
        <v>3871M</v>
      </c>
      <c r="H1393">
        <v>5.4493744</v>
      </c>
      <c r="I1393">
        <v>52.1711235</v>
      </c>
      <c r="J1393" t="s">
        <v>520</v>
      </c>
      <c r="K1393" t="s">
        <v>271</v>
      </c>
      <c r="L1393" t="s">
        <v>193</v>
      </c>
      <c r="M1393" t="s">
        <v>6</v>
      </c>
    </row>
    <row r="1394" spans="1:13" x14ac:dyDescent="0.25">
      <c r="A1394" s="3" t="s">
        <v>194</v>
      </c>
      <c r="B1394" s="4">
        <v>28</v>
      </c>
      <c r="C1394" s="4"/>
      <c r="D1394" s="4" t="s">
        <v>193</v>
      </c>
      <c r="E1394" s="4" t="s">
        <v>6</v>
      </c>
      <c r="F1394">
        <f>COUNTIFS($D$2:D1394,D1394)</f>
        <v>32</v>
      </c>
      <c r="G1394" t="str">
        <f t="shared" si="21"/>
        <v>3871M</v>
      </c>
      <c r="H1394">
        <v>5.4494631</v>
      </c>
      <c r="I1394">
        <v>52.171111000000003</v>
      </c>
      <c r="J1394" t="s">
        <v>520</v>
      </c>
      <c r="K1394" t="s">
        <v>272</v>
      </c>
      <c r="L1394" t="s">
        <v>193</v>
      </c>
      <c r="M1394" t="s">
        <v>6</v>
      </c>
    </row>
    <row r="1395" spans="1:13" x14ac:dyDescent="0.25">
      <c r="A1395" s="3" t="s">
        <v>194</v>
      </c>
      <c r="B1395" s="4">
        <v>30</v>
      </c>
      <c r="C1395" s="4"/>
      <c r="D1395" s="4" t="s">
        <v>193</v>
      </c>
      <c r="E1395" s="4" t="s">
        <v>6</v>
      </c>
      <c r="F1395">
        <f>COUNTIFS($D$2:D1395,D1395)</f>
        <v>33</v>
      </c>
      <c r="G1395" t="str">
        <f t="shared" si="21"/>
        <v>3871M</v>
      </c>
      <c r="H1395">
        <v>5.4495955</v>
      </c>
      <c r="I1395">
        <v>52.171062200000001</v>
      </c>
      <c r="J1395" t="s">
        <v>520</v>
      </c>
      <c r="K1395" t="s">
        <v>373</v>
      </c>
      <c r="L1395" t="s">
        <v>193</v>
      </c>
      <c r="M1395" t="s">
        <v>6</v>
      </c>
    </row>
    <row r="1396" spans="1:13" x14ac:dyDescent="0.25">
      <c r="A1396" s="3" t="s">
        <v>194</v>
      </c>
      <c r="B1396" s="4">
        <v>32</v>
      </c>
      <c r="C1396" s="4"/>
      <c r="D1396" s="4" t="s">
        <v>193</v>
      </c>
      <c r="E1396" s="4" t="s">
        <v>6</v>
      </c>
      <c r="F1396">
        <f>COUNTIFS($D$2:D1396,D1396)</f>
        <v>34</v>
      </c>
      <c r="G1396" t="str">
        <f t="shared" si="21"/>
        <v>3871M</v>
      </c>
      <c r="H1396">
        <v>5.4497397999999997</v>
      </c>
      <c r="I1396">
        <v>52.1710888</v>
      </c>
      <c r="J1396" t="s">
        <v>520</v>
      </c>
      <c r="K1396" t="s">
        <v>273</v>
      </c>
      <c r="L1396" t="s">
        <v>193</v>
      </c>
      <c r="M1396" t="s">
        <v>6</v>
      </c>
    </row>
    <row r="1397" spans="1:13" x14ac:dyDescent="0.25">
      <c r="A1397" s="3" t="s">
        <v>194</v>
      </c>
      <c r="B1397" s="4">
        <v>34</v>
      </c>
      <c r="C1397" s="4"/>
      <c r="D1397" s="4" t="s">
        <v>193</v>
      </c>
      <c r="E1397" s="4" t="s">
        <v>6</v>
      </c>
      <c r="F1397">
        <f>COUNTIFS($D$2:D1397,D1397)</f>
        <v>35</v>
      </c>
      <c r="G1397" t="str">
        <f t="shared" si="21"/>
        <v>3871M</v>
      </c>
      <c r="H1397">
        <v>5.4498844000000002</v>
      </c>
      <c r="I1397">
        <v>52.171157999999998</v>
      </c>
      <c r="J1397" t="s">
        <v>520</v>
      </c>
      <c r="K1397" t="s">
        <v>274</v>
      </c>
      <c r="L1397" t="s">
        <v>193</v>
      </c>
      <c r="M1397" t="s">
        <v>6</v>
      </c>
    </row>
    <row r="1398" spans="1:13" x14ac:dyDescent="0.25">
      <c r="A1398" s="3" t="s">
        <v>194</v>
      </c>
      <c r="B1398" s="4">
        <v>34</v>
      </c>
      <c r="C1398" s="4" t="s">
        <v>8</v>
      </c>
      <c r="D1398" s="4" t="s">
        <v>193</v>
      </c>
      <c r="E1398" s="4" t="s">
        <v>6</v>
      </c>
      <c r="F1398">
        <f>COUNTIFS($D$2:D1398,D1398)</f>
        <v>36</v>
      </c>
      <c r="G1398" t="str">
        <f t="shared" si="21"/>
        <v>3871M</v>
      </c>
      <c r="H1398">
        <v>5.4499883999999996</v>
      </c>
      <c r="I1398">
        <v>52.171143200000003</v>
      </c>
      <c r="J1398" t="s">
        <v>520</v>
      </c>
      <c r="K1398" t="s">
        <v>521</v>
      </c>
      <c r="L1398" t="s">
        <v>193</v>
      </c>
      <c r="M1398" t="s">
        <v>6</v>
      </c>
    </row>
    <row r="1399" spans="1:13" x14ac:dyDescent="0.25">
      <c r="A1399" s="3" t="s">
        <v>194</v>
      </c>
      <c r="B1399" s="4">
        <v>36</v>
      </c>
      <c r="C1399" s="4"/>
      <c r="D1399" s="4" t="s">
        <v>193</v>
      </c>
      <c r="E1399" s="4" t="s">
        <v>6</v>
      </c>
      <c r="F1399">
        <f>COUNTIFS($D$2:D1399,D1399)</f>
        <v>37</v>
      </c>
      <c r="G1399" t="str">
        <f t="shared" si="21"/>
        <v>3871M</v>
      </c>
      <c r="H1399">
        <v>5.4502797000000003</v>
      </c>
      <c r="I1399">
        <v>52.171333599999997</v>
      </c>
      <c r="J1399" t="s">
        <v>520</v>
      </c>
      <c r="K1399" t="s">
        <v>275</v>
      </c>
      <c r="L1399" t="s">
        <v>193</v>
      </c>
      <c r="M1399" t="s">
        <v>6</v>
      </c>
    </row>
    <row r="1400" spans="1:13" x14ac:dyDescent="0.25">
      <c r="A1400" s="3" t="s">
        <v>194</v>
      </c>
      <c r="B1400" s="4">
        <v>38</v>
      </c>
      <c r="C1400" s="4"/>
      <c r="D1400" s="4" t="s">
        <v>193</v>
      </c>
      <c r="E1400" s="4" t="s">
        <v>6</v>
      </c>
      <c r="F1400">
        <f>COUNTIFS($D$2:D1400,D1400)</f>
        <v>38</v>
      </c>
      <c r="G1400" t="str">
        <f t="shared" si="21"/>
        <v>3871M</v>
      </c>
      <c r="H1400">
        <v>5.4503966000000004</v>
      </c>
      <c r="I1400">
        <v>52.171333500000003</v>
      </c>
      <c r="J1400" t="s">
        <v>520</v>
      </c>
      <c r="K1400" t="s">
        <v>374</v>
      </c>
      <c r="L1400" t="s">
        <v>193</v>
      </c>
      <c r="M1400" t="s">
        <v>6</v>
      </c>
    </row>
    <row r="1401" spans="1:13" x14ac:dyDescent="0.25">
      <c r="A1401" s="3" t="s">
        <v>194</v>
      </c>
      <c r="B1401" s="4">
        <v>40</v>
      </c>
      <c r="C1401" s="4"/>
      <c r="D1401" s="4" t="s">
        <v>193</v>
      </c>
      <c r="E1401" s="4" t="s">
        <v>6</v>
      </c>
      <c r="F1401">
        <f>COUNTIFS($D$2:D1401,D1401)</f>
        <v>39</v>
      </c>
      <c r="G1401" t="str">
        <f t="shared" si="21"/>
        <v>3871M</v>
      </c>
      <c r="H1401">
        <v>5.4505135999999998</v>
      </c>
      <c r="I1401">
        <v>52.171360399999998</v>
      </c>
      <c r="J1401" t="s">
        <v>520</v>
      </c>
      <c r="K1401" t="s">
        <v>276</v>
      </c>
      <c r="L1401" t="s">
        <v>193</v>
      </c>
      <c r="M1401" t="s">
        <v>6</v>
      </c>
    </row>
    <row r="1402" spans="1:13" x14ac:dyDescent="0.25">
      <c r="A1402" s="3" t="s">
        <v>195</v>
      </c>
      <c r="B1402" s="4">
        <v>1</v>
      </c>
      <c r="C1402" s="4"/>
      <c r="D1402" s="4" t="s">
        <v>196</v>
      </c>
      <c r="E1402" s="4" t="s">
        <v>6</v>
      </c>
      <c r="F1402">
        <f>COUNTIFS($D$2:D1402,D1402)</f>
        <v>1</v>
      </c>
      <c r="G1402" t="str">
        <f t="shared" si="21"/>
        <v>3871M</v>
      </c>
      <c r="H1402">
        <v>5.4499155999999997</v>
      </c>
      <c r="I1402">
        <v>52.172295499999997</v>
      </c>
      <c r="J1402" t="s">
        <v>522</v>
      </c>
      <c r="K1402" t="s">
        <v>355</v>
      </c>
      <c r="L1402" t="s">
        <v>196</v>
      </c>
      <c r="M1402" t="s">
        <v>6</v>
      </c>
    </row>
    <row r="1403" spans="1:13" x14ac:dyDescent="0.25">
      <c r="A1403" s="3" t="s">
        <v>195</v>
      </c>
      <c r="B1403" s="4">
        <v>2</v>
      </c>
      <c r="C1403" s="4"/>
      <c r="D1403" s="4" t="s">
        <v>196</v>
      </c>
      <c r="E1403" s="4" t="s">
        <v>6</v>
      </c>
      <c r="F1403">
        <f>COUNTIFS($D$2:D1403,D1403)</f>
        <v>2</v>
      </c>
      <c r="G1403" t="str">
        <f t="shared" si="21"/>
        <v>3871M</v>
      </c>
      <c r="H1403">
        <v>5.4491262000000003</v>
      </c>
      <c r="I1403">
        <v>52.172295900000002</v>
      </c>
      <c r="J1403" t="s">
        <v>522</v>
      </c>
      <c r="K1403" t="s">
        <v>370</v>
      </c>
      <c r="L1403" t="s">
        <v>196</v>
      </c>
      <c r="M1403" t="s">
        <v>6</v>
      </c>
    </row>
    <row r="1404" spans="1:13" x14ac:dyDescent="0.25">
      <c r="A1404" s="3" t="s">
        <v>195</v>
      </c>
      <c r="B1404" s="4">
        <v>3</v>
      </c>
      <c r="C1404" s="4"/>
      <c r="D1404" s="4" t="s">
        <v>196</v>
      </c>
      <c r="E1404" s="4" t="s">
        <v>6</v>
      </c>
      <c r="F1404">
        <f>COUNTIFS($D$2:D1404,D1404)</f>
        <v>3</v>
      </c>
      <c r="G1404" t="str">
        <f t="shared" si="21"/>
        <v>3871M</v>
      </c>
      <c r="H1404">
        <v>5.4498132999999997</v>
      </c>
      <c r="I1404">
        <v>52.1722866</v>
      </c>
      <c r="J1404" t="s">
        <v>522</v>
      </c>
      <c r="K1404" t="s">
        <v>356</v>
      </c>
      <c r="L1404" t="s">
        <v>196</v>
      </c>
      <c r="M1404" t="s">
        <v>6</v>
      </c>
    </row>
    <row r="1405" spans="1:13" x14ac:dyDescent="0.25">
      <c r="A1405" s="3" t="s">
        <v>195</v>
      </c>
      <c r="B1405" s="4">
        <v>4</v>
      </c>
      <c r="C1405" s="4"/>
      <c r="D1405" s="4" t="s">
        <v>196</v>
      </c>
      <c r="E1405" s="4" t="s">
        <v>6</v>
      </c>
      <c r="F1405">
        <f>COUNTIFS($D$2:D1405,D1405)</f>
        <v>4</v>
      </c>
      <c r="G1405" t="str">
        <f t="shared" si="21"/>
        <v>3871M</v>
      </c>
      <c r="H1405">
        <v>5.4490093000000002</v>
      </c>
      <c r="I1405">
        <v>52.172296000000003</v>
      </c>
      <c r="J1405" t="s">
        <v>522</v>
      </c>
      <c r="K1405" t="s">
        <v>260</v>
      </c>
      <c r="L1405" t="s">
        <v>196</v>
      </c>
      <c r="M1405" t="s">
        <v>6</v>
      </c>
    </row>
    <row r="1406" spans="1:13" x14ac:dyDescent="0.25">
      <c r="A1406" s="3" t="s">
        <v>195</v>
      </c>
      <c r="B1406" s="4">
        <v>5</v>
      </c>
      <c r="C1406" s="4"/>
      <c r="D1406" s="4" t="s">
        <v>196</v>
      </c>
      <c r="E1406" s="4" t="s">
        <v>6</v>
      </c>
      <c r="F1406">
        <f>COUNTIFS($D$2:D1406,D1406)</f>
        <v>5</v>
      </c>
      <c r="G1406" t="str">
        <f t="shared" si="21"/>
        <v>3871M</v>
      </c>
      <c r="H1406">
        <v>5.4497255999999998</v>
      </c>
      <c r="I1406">
        <v>52.172313600000003</v>
      </c>
      <c r="J1406" t="s">
        <v>522</v>
      </c>
      <c r="K1406" t="s">
        <v>357</v>
      </c>
      <c r="L1406" t="s">
        <v>196</v>
      </c>
      <c r="M1406" t="s">
        <v>6</v>
      </c>
    </row>
    <row r="1407" spans="1:13" x14ac:dyDescent="0.25">
      <c r="A1407" s="3" t="s">
        <v>195</v>
      </c>
      <c r="B1407" s="4">
        <v>6</v>
      </c>
      <c r="C1407" s="4"/>
      <c r="D1407" s="4" t="s">
        <v>196</v>
      </c>
      <c r="E1407" s="4" t="s">
        <v>6</v>
      </c>
      <c r="F1407">
        <f>COUNTIFS($D$2:D1407,D1407)</f>
        <v>6</v>
      </c>
      <c r="G1407" t="str">
        <f t="shared" si="21"/>
        <v>3871M</v>
      </c>
      <c r="H1407">
        <v>5.4488922999999998</v>
      </c>
      <c r="I1407">
        <v>52.172296000000003</v>
      </c>
      <c r="J1407" t="s">
        <v>522</v>
      </c>
      <c r="K1407" t="s">
        <v>262</v>
      </c>
      <c r="L1407" t="s">
        <v>196</v>
      </c>
      <c r="M1407" t="s">
        <v>6</v>
      </c>
    </row>
    <row r="1408" spans="1:13" x14ac:dyDescent="0.25">
      <c r="A1408" s="3" t="s">
        <v>195</v>
      </c>
      <c r="B1408" s="4">
        <v>7</v>
      </c>
      <c r="C1408" s="4"/>
      <c r="D1408" s="4" t="s">
        <v>196</v>
      </c>
      <c r="E1408" s="4" t="s">
        <v>6</v>
      </c>
      <c r="F1408">
        <f>COUNTIFS($D$2:D1408,D1408)</f>
        <v>7</v>
      </c>
      <c r="G1408" t="str">
        <f t="shared" si="21"/>
        <v>3871M</v>
      </c>
      <c r="H1408">
        <v>5.4496378999999999</v>
      </c>
      <c r="I1408">
        <v>52.172313600000003</v>
      </c>
      <c r="J1408" t="s">
        <v>522</v>
      </c>
      <c r="K1408" t="s">
        <v>358</v>
      </c>
      <c r="L1408" t="s">
        <v>196</v>
      </c>
      <c r="M1408" t="s">
        <v>6</v>
      </c>
    </row>
    <row r="1409" spans="1:13" x14ac:dyDescent="0.25">
      <c r="A1409" s="3" t="s">
        <v>195</v>
      </c>
      <c r="B1409" s="4">
        <v>8</v>
      </c>
      <c r="C1409" s="4"/>
      <c r="D1409" s="4" t="s">
        <v>196</v>
      </c>
      <c r="E1409" s="4" t="s">
        <v>6</v>
      </c>
      <c r="F1409">
        <f>COUNTIFS($D$2:D1409,D1409)</f>
        <v>8</v>
      </c>
      <c r="G1409" t="str">
        <f t="shared" si="21"/>
        <v>3871M</v>
      </c>
      <c r="H1409">
        <v>5.4487899999999998</v>
      </c>
      <c r="I1409">
        <v>52.172287099999998</v>
      </c>
      <c r="J1409" t="s">
        <v>522</v>
      </c>
      <c r="K1409" t="s">
        <v>263</v>
      </c>
      <c r="L1409" t="s">
        <v>196</v>
      </c>
      <c r="M1409" t="s">
        <v>6</v>
      </c>
    </row>
    <row r="1410" spans="1:13" x14ac:dyDescent="0.25">
      <c r="A1410" s="3" t="s">
        <v>195</v>
      </c>
      <c r="B1410" s="4">
        <v>9</v>
      </c>
      <c r="C1410" s="4"/>
      <c r="D1410" s="4" t="s">
        <v>196</v>
      </c>
      <c r="E1410" s="4" t="s">
        <v>6</v>
      </c>
      <c r="F1410">
        <f>COUNTIFS($D$2:D1410,D1410)</f>
        <v>9</v>
      </c>
      <c r="G1410" t="str">
        <f t="shared" ref="G1410:G1473" si="22">LEFT(A1410,5)</f>
        <v>3871M</v>
      </c>
      <c r="H1410">
        <v>5.4495502</v>
      </c>
      <c r="I1410">
        <v>52.172304699999998</v>
      </c>
      <c r="J1410" t="s">
        <v>522</v>
      </c>
      <c r="K1410" t="s">
        <v>382</v>
      </c>
      <c r="L1410" t="s">
        <v>196</v>
      </c>
      <c r="M1410" t="s">
        <v>6</v>
      </c>
    </row>
    <row r="1411" spans="1:13" x14ac:dyDescent="0.25">
      <c r="A1411" s="3" t="s">
        <v>195</v>
      </c>
      <c r="B1411" s="4">
        <v>10</v>
      </c>
      <c r="C1411" s="4"/>
      <c r="D1411" s="4" t="s">
        <v>196</v>
      </c>
      <c r="E1411" s="4" t="s">
        <v>6</v>
      </c>
      <c r="F1411">
        <f>COUNTIFS($D$2:D1411,D1411)</f>
        <v>10</v>
      </c>
      <c r="G1411" t="str">
        <f t="shared" si="22"/>
        <v>3871M</v>
      </c>
      <c r="H1411">
        <v>5.4486438000000001</v>
      </c>
      <c r="I1411">
        <v>52.172305199999997</v>
      </c>
      <c r="J1411" t="s">
        <v>522</v>
      </c>
      <c r="K1411" t="s">
        <v>264</v>
      </c>
      <c r="L1411" t="s">
        <v>196</v>
      </c>
      <c r="M1411" t="s">
        <v>6</v>
      </c>
    </row>
    <row r="1412" spans="1:13" x14ac:dyDescent="0.25">
      <c r="A1412" s="3" t="s">
        <v>195</v>
      </c>
      <c r="B1412" s="4">
        <v>12</v>
      </c>
      <c r="C1412" s="4"/>
      <c r="D1412" s="4" t="s">
        <v>196</v>
      </c>
      <c r="E1412" s="4" t="s">
        <v>6</v>
      </c>
      <c r="F1412">
        <f>COUNTIFS($D$2:D1412,D1412)</f>
        <v>11</v>
      </c>
      <c r="G1412" t="str">
        <f t="shared" si="22"/>
        <v>3871M</v>
      </c>
      <c r="H1412">
        <v>5.4484659999999998</v>
      </c>
      <c r="I1412">
        <v>52.1723316</v>
      </c>
      <c r="J1412" t="s">
        <v>522</v>
      </c>
      <c r="K1412" t="s">
        <v>265</v>
      </c>
      <c r="L1412" t="s">
        <v>196</v>
      </c>
      <c r="M1412" t="s">
        <v>6</v>
      </c>
    </row>
    <row r="1413" spans="1:13" x14ac:dyDescent="0.25">
      <c r="A1413" s="3" t="s">
        <v>197</v>
      </c>
      <c r="B1413" s="4">
        <v>1</v>
      </c>
      <c r="C1413" s="4"/>
      <c r="D1413" s="4" t="s">
        <v>198</v>
      </c>
      <c r="E1413" s="4" t="s">
        <v>6</v>
      </c>
      <c r="F1413">
        <f>COUNTIFS($D$2:D1413,D1413)</f>
        <v>1</v>
      </c>
      <c r="G1413" t="str">
        <f t="shared" si="22"/>
        <v>3871M</v>
      </c>
      <c r="H1413">
        <v>5.4483233999999996</v>
      </c>
      <c r="I1413">
        <v>52.173150200000002</v>
      </c>
      <c r="J1413" t="s">
        <v>523</v>
      </c>
      <c r="K1413" t="s">
        <v>355</v>
      </c>
      <c r="L1413" t="s">
        <v>198</v>
      </c>
      <c r="M1413" t="s">
        <v>6</v>
      </c>
    </row>
    <row r="1414" spans="1:13" x14ac:dyDescent="0.25">
      <c r="A1414" s="3" t="s">
        <v>197</v>
      </c>
      <c r="B1414" s="4">
        <v>3</v>
      </c>
      <c r="C1414" s="4"/>
      <c r="D1414" s="4" t="s">
        <v>198</v>
      </c>
      <c r="E1414" s="4" t="s">
        <v>6</v>
      </c>
      <c r="F1414">
        <f>COUNTIFS($D$2:D1414,D1414)</f>
        <v>2</v>
      </c>
      <c r="G1414" t="str">
        <f t="shared" si="22"/>
        <v>3871M</v>
      </c>
      <c r="H1414">
        <v>5.4483379000000003</v>
      </c>
      <c r="I1414">
        <v>52.1730783</v>
      </c>
      <c r="J1414" t="s">
        <v>523</v>
      </c>
      <c r="K1414" t="s">
        <v>356</v>
      </c>
      <c r="L1414" t="s">
        <v>198</v>
      </c>
      <c r="M1414" t="s">
        <v>6</v>
      </c>
    </row>
    <row r="1415" spans="1:13" x14ac:dyDescent="0.25">
      <c r="A1415" s="3" t="s">
        <v>197</v>
      </c>
      <c r="B1415" s="4">
        <v>5</v>
      </c>
      <c r="C1415" s="4"/>
      <c r="D1415" s="4" t="s">
        <v>198</v>
      </c>
      <c r="E1415" s="4" t="s">
        <v>6</v>
      </c>
      <c r="F1415">
        <f>COUNTIFS($D$2:D1415,D1415)</f>
        <v>3</v>
      </c>
      <c r="G1415" t="str">
        <f t="shared" si="22"/>
        <v>3871M</v>
      </c>
      <c r="H1415">
        <v>5.4483231999999999</v>
      </c>
      <c r="I1415">
        <v>52.1729974</v>
      </c>
      <c r="J1415" t="s">
        <v>523</v>
      </c>
      <c r="K1415" t="s">
        <v>357</v>
      </c>
      <c r="L1415" t="s">
        <v>198</v>
      </c>
      <c r="M1415" t="s">
        <v>6</v>
      </c>
    </row>
    <row r="1416" spans="1:13" x14ac:dyDescent="0.25">
      <c r="A1416" s="3" t="s">
        <v>197</v>
      </c>
      <c r="B1416" s="4">
        <v>7</v>
      </c>
      <c r="C1416" s="4"/>
      <c r="D1416" s="4" t="s">
        <v>198</v>
      </c>
      <c r="E1416" s="4" t="s">
        <v>6</v>
      </c>
      <c r="F1416">
        <f>COUNTIFS($D$2:D1416,D1416)</f>
        <v>4</v>
      </c>
      <c r="G1416" t="str">
        <f t="shared" si="22"/>
        <v>3871M</v>
      </c>
      <c r="H1416">
        <v>5.4483376999999997</v>
      </c>
      <c r="I1416">
        <v>52.172934499999997</v>
      </c>
      <c r="J1416" t="s">
        <v>523</v>
      </c>
      <c r="K1416" t="s">
        <v>358</v>
      </c>
      <c r="L1416" t="s">
        <v>198</v>
      </c>
      <c r="M1416" t="s">
        <v>6</v>
      </c>
    </row>
    <row r="1417" spans="1:13" x14ac:dyDescent="0.25">
      <c r="A1417" s="3" t="s">
        <v>197</v>
      </c>
      <c r="B1417" s="4">
        <v>9</v>
      </c>
      <c r="C1417" s="4"/>
      <c r="D1417" s="4" t="s">
        <v>198</v>
      </c>
      <c r="E1417" s="4" t="s">
        <v>6</v>
      </c>
      <c r="F1417">
        <f>COUNTIFS($D$2:D1417,D1417)</f>
        <v>5</v>
      </c>
      <c r="G1417" t="str">
        <f t="shared" si="22"/>
        <v>3871M</v>
      </c>
      <c r="H1417">
        <v>5.4483376000000003</v>
      </c>
      <c r="I1417">
        <v>52.172862600000002</v>
      </c>
      <c r="J1417" t="s">
        <v>523</v>
      </c>
      <c r="K1417" t="s">
        <v>382</v>
      </c>
      <c r="L1417" t="s">
        <v>198</v>
      </c>
      <c r="M1417" t="s">
        <v>6</v>
      </c>
    </row>
    <row r="1418" spans="1:13" x14ac:dyDescent="0.25">
      <c r="A1418" s="3" t="s">
        <v>197</v>
      </c>
      <c r="B1418" s="4">
        <v>11</v>
      </c>
      <c r="C1418" s="4"/>
      <c r="D1418" s="4" t="s">
        <v>198</v>
      </c>
      <c r="E1418" s="4" t="s">
        <v>6</v>
      </c>
      <c r="F1418">
        <f>COUNTIFS($D$2:D1418,D1418)</f>
        <v>6</v>
      </c>
      <c r="G1418" t="str">
        <f t="shared" si="22"/>
        <v>3871M</v>
      </c>
      <c r="H1418">
        <v>5.4483375000000001</v>
      </c>
      <c r="I1418">
        <v>52.172781700000002</v>
      </c>
      <c r="J1418" t="s">
        <v>523</v>
      </c>
      <c r="K1418" t="s">
        <v>391</v>
      </c>
      <c r="L1418" t="s">
        <v>198</v>
      </c>
      <c r="M1418" t="s">
        <v>6</v>
      </c>
    </row>
    <row r="1419" spans="1:13" x14ac:dyDescent="0.25">
      <c r="A1419" s="3" t="s">
        <v>197</v>
      </c>
      <c r="B1419" s="4">
        <v>13</v>
      </c>
      <c r="C1419" s="4"/>
      <c r="D1419" s="4" t="s">
        <v>198</v>
      </c>
      <c r="E1419" s="4" t="s">
        <v>6</v>
      </c>
      <c r="F1419">
        <f>COUNTIFS($D$2:D1419,D1419)</f>
        <v>7</v>
      </c>
      <c r="G1419" t="str">
        <f t="shared" si="22"/>
        <v>3871M</v>
      </c>
      <c r="H1419">
        <v>5.4488792999999998</v>
      </c>
      <c r="I1419">
        <v>52.173446499999997</v>
      </c>
      <c r="J1419" t="s">
        <v>523</v>
      </c>
      <c r="K1419" t="s">
        <v>359</v>
      </c>
      <c r="L1419" t="s">
        <v>198</v>
      </c>
      <c r="M1419" t="s">
        <v>6</v>
      </c>
    </row>
    <row r="1420" spans="1:13" x14ac:dyDescent="0.25">
      <c r="A1420" s="3" t="s">
        <v>197</v>
      </c>
      <c r="B1420" s="4">
        <v>15</v>
      </c>
      <c r="C1420" s="4"/>
      <c r="D1420" s="4" t="s">
        <v>198</v>
      </c>
      <c r="E1420" s="4" t="s">
        <v>6</v>
      </c>
      <c r="F1420">
        <f>COUNTIFS($D$2:D1420,D1420)</f>
        <v>8</v>
      </c>
      <c r="G1420" t="str">
        <f t="shared" si="22"/>
        <v>3871M</v>
      </c>
      <c r="H1420">
        <v>5.4488792000000004</v>
      </c>
      <c r="I1420">
        <v>52.173383600000001</v>
      </c>
      <c r="J1420" t="s">
        <v>523</v>
      </c>
      <c r="K1420" t="s">
        <v>383</v>
      </c>
      <c r="L1420" t="s">
        <v>198</v>
      </c>
      <c r="M1420" t="s">
        <v>6</v>
      </c>
    </row>
    <row r="1421" spans="1:13" x14ac:dyDescent="0.25">
      <c r="A1421" s="3" t="s">
        <v>197</v>
      </c>
      <c r="B1421" s="4">
        <v>17</v>
      </c>
      <c r="C1421" s="4"/>
      <c r="D1421" s="4" t="s">
        <v>198</v>
      </c>
      <c r="E1421" s="4" t="s">
        <v>6</v>
      </c>
      <c r="F1421">
        <f>COUNTIFS($D$2:D1421,D1421)</f>
        <v>9</v>
      </c>
      <c r="G1421" t="str">
        <f t="shared" si="22"/>
        <v>3871M</v>
      </c>
      <c r="H1421">
        <v>5.4488791000000001</v>
      </c>
      <c r="I1421">
        <v>52.173302700000001</v>
      </c>
      <c r="J1421" t="s">
        <v>523</v>
      </c>
      <c r="K1421" t="s">
        <v>360</v>
      </c>
      <c r="L1421" t="s">
        <v>198</v>
      </c>
      <c r="M1421" t="s">
        <v>6</v>
      </c>
    </row>
    <row r="1422" spans="1:13" x14ac:dyDescent="0.25">
      <c r="A1422" s="3" t="s">
        <v>197</v>
      </c>
      <c r="B1422" s="4">
        <v>19</v>
      </c>
      <c r="C1422" s="4"/>
      <c r="D1422" s="4" t="s">
        <v>198</v>
      </c>
      <c r="E1422" s="4" t="s">
        <v>6</v>
      </c>
      <c r="F1422">
        <f>COUNTIFS($D$2:D1422,D1422)</f>
        <v>10</v>
      </c>
      <c r="G1422" t="str">
        <f t="shared" si="22"/>
        <v>3871M</v>
      </c>
      <c r="H1422">
        <v>5.4488935999999999</v>
      </c>
      <c r="I1422">
        <v>52.173239799999998</v>
      </c>
      <c r="J1422" t="s">
        <v>523</v>
      </c>
      <c r="K1422" t="s">
        <v>361</v>
      </c>
      <c r="L1422" t="s">
        <v>198</v>
      </c>
      <c r="M1422" t="s">
        <v>6</v>
      </c>
    </row>
    <row r="1423" spans="1:13" x14ac:dyDescent="0.25">
      <c r="A1423" s="3" t="s">
        <v>197</v>
      </c>
      <c r="B1423" s="4">
        <v>21</v>
      </c>
      <c r="C1423" s="4"/>
      <c r="D1423" s="4" t="s">
        <v>198</v>
      </c>
      <c r="E1423" s="4" t="s">
        <v>6</v>
      </c>
      <c r="F1423">
        <f>COUNTIFS($D$2:D1423,D1423)</f>
        <v>11</v>
      </c>
      <c r="G1423" t="str">
        <f t="shared" si="22"/>
        <v>3871M</v>
      </c>
      <c r="H1423">
        <v>5.4489082</v>
      </c>
      <c r="I1423">
        <v>52.1731768</v>
      </c>
      <c r="J1423" t="s">
        <v>523</v>
      </c>
      <c r="K1423" t="s">
        <v>362</v>
      </c>
      <c r="L1423" t="s">
        <v>198</v>
      </c>
      <c r="M1423" t="s">
        <v>6</v>
      </c>
    </row>
    <row r="1424" spans="1:13" x14ac:dyDescent="0.25">
      <c r="A1424" s="3" t="s">
        <v>197</v>
      </c>
      <c r="B1424" s="4">
        <v>23</v>
      </c>
      <c r="C1424" s="4"/>
      <c r="D1424" s="4" t="s">
        <v>198</v>
      </c>
      <c r="E1424" s="4" t="s">
        <v>6</v>
      </c>
      <c r="F1424">
        <f>COUNTIFS($D$2:D1424,D1424)</f>
        <v>12</v>
      </c>
      <c r="G1424" t="str">
        <f t="shared" si="22"/>
        <v>3871M</v>
      </c>
      <c r="H1424">
        <v>5.4487031999999997</v>
      </c>
      <c r="I1424">
        <v>52.172952299999999</v>
      </c>
      <c r="J1424" t="s">
        <v>523</v>
      </c>
      <c r="K1424" t="s">
        <v>384</v>
      </c>
      <c r="L1424" t="s">
        <v>198</v>
      </c>
      <c r="M1424" t="s">
        <v>6</v>
      </c>
    </row>
    <row r="1425" spans="1:13" x14ac:dyDescent="0.25">
      <c r="A1425" s="3" t="s">
        <v>197</v>
      </c>
      <c r="B1425" s="4">
        <v>25</v>
      </c>
      <c r="C1425" s="4"/>
      <c r="D1425" s="4" t="s">
        <v>198</v>
      </c>
      <c r="E1425" s="4" t="s">
        <v>6</v>
      </c>
      <c r="F1425">
        <f>COUNTIFS($D$2:D1425,D1425)</f>
        <v>13</v>
      </c>
      <c r="G1425" t="str">
        <f t="shared" si="22"/>
        <v>3871M</v>
      </c>
      <c r="H1425">
        <v>5.4488202000000001</v>
      </c>
      <c r="I1425">
        <v>52.172952199999997</v>
      </c>
      <c r="J1425" t="s">
        <v>523</v>
      </c>
      <c r="K1425" t="s">
        <v>385</v>
      </c>
      <c r="L1425" t="s">
        <v>198</v>
      </c>
      <c r="M1425" t="s">
        <v>6</v>
      </c>
    </row>
    <row r="1426" spans="1:13" x14ac:dyDescent="0.25">
      <c r="A1426" s="3" t="s">
        <v>197</v>
      </c>
      <c r="B1426" s="4">
        <v>27</v>
      </c>
      <c r="C1426" s="4"/>
      <c r="D1426" s="4" t="s">
        <v>198</v>
      </c>
      <c r="E1426" s="4" t="s">
        <v>6</v>
      </c>
      <c r="F1426">
        <f>COUNTIFS($D$2:D1426,D1426)</f>
        <v>14</v>
      </c>
      <c r="G1426" t="str">
        <f t="shared" si="22"/>
        <v>3871M</v>
      </c>
      <c r="H1426">
        <v>5.4489371000000002</v>
      </c>
      <c r="I1426">
        <v>52.172961100000002</v>
      </c>
      <c r="J1426" t="s">
        <v>523</v>
      </c>
      <c r="K1426" t="s">
        <v>393</v>
      </c>
      <c r="L1426" t="s">
        <v>198</v>
      </c>
      <c r="M1426" t="s">
        <v>6</v>
      </c>
    </row>
    <row r="1427" spans="1:13" x14ac:dyDescent="0.25">
      <c r="A1427" s="3" t="s">
        <v>197</v>
      </c>
      <c r="B1427" s="4">
        <v>29</v>
      </c>
      <c r="C1427" s="4"/>
      <c r="D1427" s="4" t="s">
        <v>198</v>
      </c>
      <c r="E1427" s="4" t="s">
        <v>6</v>
      </c>
      <c r="F1427">
        <f>COUNTIFS($D$2:D1427,D1427)</f>
        <v>15</v>
      </c>
      <c r="G1427" t="str">
        <f t="shared" si="22"/>
        <v>3871M</v>
      </c>
      <c r="H1427">
        <v>5.4490686999999998</v>
      </c>
      <c r="I1427">
        <v>52.172961100000002</v>
      </c>
      <c r="J1427" t="s">
        <v>523</v>
      </c>
      <c r="K1427" t="s">
        <v>364</v>
      </c>
      <c r="L1427" t="s">
        <v>198</v>
      </c>
      <c r="M1427" t="s">
        <v>6</v>
      </c>
    </row>
    <row r="1428" spans="1:13" x14ac:dyDescent="0.25">
      <c r="A1428" s="3" t="s">
        <v>197</v>
      </c>
      <c r="B1428" s="4">
        <v>31</v>
      </c>
      <c r="C1428" s="4"/>
      <c r="D1428" s="4" t="s">
        <v>198</v>
      </c>
      <c r="E1428" s="4" t="s">
        <v>6</v>
      </c>
      <c r="F1428">
        <f>COUNTIFS($D$2:D1428,D1428)</f>
        <v>16</v>
      </c>
      <c r="G1428" t="str">
        <f t="shared" si="22"/>
        <v>3871M</v>
      </c>
      <c r="H1428">
        <v>5.4488199000000002</v>
      </c>
      <c r="I1428">
        <v>52.172763400000001</v>
      </c>
      <c r="J1428" t="s">
        <v>523</v>
      </c>
      <c r="K1428" t="s">
        <v>323</v>
      </c>
      <c r="L1428" t="s">
        <v>198</v>
      </c>
      <c r="M1428" t="s">
        <v>6</v>
      </c>
    </row>
    <row r="1429" spans="1:13" x14ac:dyDescent="0.25">
      <c r="A1429" s="3" t="s">
        <v>197</v>
      </c>
      <c r="B1429" s="4">
        <v>33</v>
      </c>
      <c r="C1429" s="4"/>
      <c r="D1429" s="4" t="s">
        <v>198</v>
      </c>
      <c r="E1429" s="4" t="s">
        <v>6</v>
      </c>
      <c r="F1429">
        <f>COUNTIFS($D$2:D1429,D1429)</f>
        <v>17</v>
      </c>
      <c r="G1429" t="str">
        <f t="shared" si="22"/>
        <v>3871M</v>
      </c>
      <c r="H1429">
        <v>5.4488344</v>
      </c>
      <c r="I1429">
        <v>52.172700499999998</v>
      </c>
      <c r="J1429" t="s">
        <v>523</v>
      </c>
      <c r="K1429" t="s">
        <v>365</v>
      </c>
      <c r="L1429" t="s">
        <v>198</v>
      </c>
      <c r="M1429" t="s">
        <v>6</v>
      </c>
    </row>
    <row r="1430" spans="1:13" x14ac:dyDescent="0.25">
      <c r="A1430" s="3" t="s">
        <v>197</v>
      </c>
      <c r="B1430" s="4">
        <v>35</v>
      </c>
      <c r="C1430" s="4"/>
      <c r="D1430" s="4" t="s">
        <v>198</v>
      </c>
      <c r="E1430" s="4" t="s">
        <v>6</v>
      </c>
      <c r="F1430">
        <f>COUNTIFS($D$2:D1430,D1430)</f>
        <v>18</v>
      </c>
      <c r="G1430" t="str">
        <f t="shared" si="22"/>
        <v>3871M</v>
      </c>
      <c r="H1430">
        <v>5.4488342999999997</v>
      </c>
      <c r="I1430">
        <v>52.172628600000003</v>
      </c>
      <c r="J1430" t="s">
        <v>523</v>
      </c>
      <c r="K1430" t="s">
        <v>366</v>
      </c>
      <c r="L1430" t="s">
        <v>198</v>
      </c>
      <c r="M1430" t="s">
        <v>6</v>
      </c>
    </row>
    <row r="1431" spans="1:13" x14ac:dyDescent="0.25">
      <c r="A1431" s="3" t="s">
        <v>197</v>
      </c>
      <c r="B1431" s="4">
        <v>37</v>
      </c>
      <c r="C1431" s="4"/>
      <c r="D1431" s="4" t="s">
        <v>198</v>
      </c>
      <c r="E1431" s="4" t="s">
        <v>6</v>
      </c>
      <c r="F1431">
        <f>COUNTIFS($D$2:D1431,D1431)</f>
        <v>19</v>
      </c>
      <c r="G1431" t="str">
        <f t="shared" si="22"/>
        <v>3871M</v>
      </c>
      <c r="H1431">
        <v>5.4489073000000001</v>
      </c>
      <c r="I1431">
        <v>52.172538699999997</v>
      </c>
      <c r="J1431" t="s">
        <v>523</v>
      </c>
      <c r="K1431" t="s">
        <v>367</v>
      </c>
      <c r="L1431" t="s">
        <v>198</v>
      </c>
      <c r="M1431" t="s">
        <v>6</v>
      </c>
    </row>
    <row r="1432" spans="1:13" x14ac:dyDescent="0.25">
      <c r="A1432" s="3" t="s">
        <v>197</v>
      </c>
      <c r="B1432" s="4">
        <v>39</v>
      </c>
      <c r="C1432" s="4"/>
      <c r="D1432" s="4" t="s">
        <v>198</v>
      </c>
      <c r="E1432" s="4" t="s">
        <v>6</v>
      </c>
      <c r="F1432">
        <f>COUNTIFS($D$2:D1432,D1432)</f>
        <v>20</v>
      </c>
      <c r="G1432" t="str">
        <f t="shared" si="22"/>
        <v>3871M</v>
      </c>
      <c r="H1432">
        <v>5.4489217999999999</v>
      </c>
      <c r="I1432">
        <v>52.172484799999999</v>
      </c>
      <c r="J1432" t="s">
        <v>523</v>
      </c>
      <c r="K1432" t="s">
        <v>368</v>
      </c>
      <c r="L1432" t="s">
        <v>198</v>
      </c>
      <c r="M1432" t="s">
        <v>6</v>
      </c>
    </row>
    <row r="1433" spans="1:13" x14ac:dyDescent="0.25">
      <c r="A1433" s="3" t="s">
        <v>199</v>
      </c>
      <c r="B1433" s="4">
        <v>6</v>
      </c>
      <c r="C1433" s="4"/>
      <c r="D1433" s="4" t="s">
        <v>198</v>
      </c>
      <c r="E1433" s="4" t="s">
        <v>6</v>
      </c>
      <c r="F1433">
        <f>COUNTIFS($D$2:D1433,D1433)</f>
        <v>21</v>
      </c>
      <c r="G1433" t="str">
        <f t="shared" si="22"/>
        <v>3871M</v>
      </c>
      <c r="H1433">
        <v>5.4476217</v>
      </c>
      <c r="I1433">
        <v>52.173132600000002</v>
      </c>
      <c r="J1433" t="s">
        <v>524</v>
      </c>
      <c r="K1433" t="s">
        <v>262</v>
      </c>
      <c r="L1433" t="s">
        <v>198</v>
      </c>
      <c r="M1433" t="s">
        <v>6</v>
      </c>
    </row>
    <row r="1434" spans="1:13" x14ac:dyDescent="0.25">
      <c r="A1434" s="3" t="s">
        <v>199</v>
      </c>
      <c r="B1434" s="4">
        <v>8</v>
      </c>
      <c r="C1434" s="4"/>
      <c r="D1434" s="4" t="s">
        <v>198</v>
      </c>
      <c r="E1434" s="4" t="s">
        <v>6</v>
      </c>
      <c r="F1434">
        <f>COUNTIFS($D$2:D1434,D1434)</f>
        <v>22</v>
      </c>
      <c r="G1434" t="str">
        <f t="shared" si="22"/>
        <v>3871M</v>
      </c>
      <c r="H1434">
        <v>5.4476798999999998</v>
      </c>
      <c r="I1434">
        <v>52.172961800000003</v>
      </c>
      <c r="J1434" t="s">
        <v>524</v>
      </c>
      <c r="K1434" t="s">
        <v>263</v>
      </c>
      <c r="L1434" t="s">
        <v>198</v>
      </c>
      <c r="M1434" t="s">
        <v>6</v>
      </c>
    </row>
    <row r="1435" spans="1:13" x14ac:dyDescent="0.25">
      <c r="A1435" s="3" t="s">
        <v>199</v>
      </c>
      <c r="B1435" s="4">
        <v>10</v>
      </c>
      <c r="C1435" s="4"/>
      <c r="D1435" s="4" t="s">
        <v>198</v>
      </c>
      <c r="E1435" s="4" t="s">
        <v>6</v>
      </c>
      <c r="F1435">
        <f>COUNTIFS($D$2:D1435,D1435)</f>
        <v>23</v>
      </c>
      <c r="G1435" t="str">
        <f t="shared" si="22"/>
        <v>3871M</v>
      </c>
      <c r="H1435">
        <v>5.4476798000000004</v>
      </c>
      <c r="I1435">
        <v>52.172889900000001</v>
      </c>
      <c r="J1435" t="s">
        <v>524</v>
      </c>
      <c r="K1435" t="s">
        <v>264</v>
      </c>
      <c r="L1435" t="s">
        <v>198</v>
      </c>
      <c r="M1435" t="s">
        <v>6</v>
      </c>
    </row>
    <row r="1436" spans="1:13" x14ac:dyDescent="0.25">
      <c r="A1436" s="3" t="s">
        <v>199</v>
      </c>
      <c r="B1436" s="4">
        <v>12</v>
      </c>
      <c r="C1436" s="4"/>
      <c r="D1436" s="4" t="s">
        <v>198</v>
      </c>
      <c r="E1436" s="4" t="s">
        <v>6</v>
      </c>
      <c r="F1436">
        <f>COUNTIFS($D$2:D1436,D1436)</f>
        <v>24</v>
      </c>
      <c r="G1436" t="str">
        <f t="shared" si="22"/>
        <v>3871M</v>
      </c>
      <c r="H1436">
        <v>5.4476357999999996</v>
      </c>
      <c r="I1436">
        <v>52.172755100000003</v>
      </c>
      <c r="J1436" t="s">
        <v>524</v>
      </c>
      <c r="K1436" t="s">
        <v>265</v>
      </c>
      <c r="L1436" t="s">
        <v>198</v>
      </c>
      <c r="M1436" t="s">
        <v>6</v>
      </c>
    </row>
    <row r="1437" spans="1:13" x14ac:dyDescent="0.25">
      <c r="A1437" s="3" t="s">
        <v>199</v>
      </c>
      <c r="B1437" s="4">
        <v>14</v>
      </c>
      <c r="C1437" s="4"/>
      <c r="D1437" s="4" t="s">
        <v>198</v>
      </c>
      <c r="E1437" s="4" t="s">
        <v>6</v>
      </c>
      <c r="F1437">
        <f>COUNTIFS($D$2:D1437,D1437)</f>
        <v>25</v>
      </c>
      <c r="G1437" t="str">
        <f t="shared" si="22"/>
        <v>3871M</v>
      </c>
      <c r="H1437">
        <v>5.4476357000000002</v>
      </c>
      <c r="I1437">
        <v>52.172683200000002</v>
      </c>
      <c r="J1437" t="s">
        <v>524</v>
      </c>
      <c r="K1437" t="s">
        <v>266</v>
      </c>
      <c r="L1437" t="s">
        <v>198</v>
      </c>
      <c r="M1437" t="s">
        <v>6</v>
      </c>
    </row>
    <row r="1438" spans="1:13" x14ac:dyDescent="0.25">
      <c r="A1438" s="3" t="s">
        <v>199</v>
      </c>
      <c r="B1438" s="4">
        <v>16</v>
      </c>
      <c r="C1438" s="4"/>
      <c r="D1438" s="4" t="s">
        <v>198</v>
      </c>
      <c r="E1438" s="4" t="s">
        <v>6</v>
      </c>
      <c r="F1438">
        <f>COUNTIFS($D$2:D1438,D1438)</f>
        <v>26</v>
      </c>
      <c r="G1438" t="str">
        <f t="shared" si="22"/>
        <v>3871M</v>
      </c>
      <c r="H1438">
        <v>5.4480301999999998</v>
      </c>
      <c r="I1438">
        <v>52.172539200000003</v>
      </c>
      <c r="J1438" t="s">
        <v>524</v>
      </c>
      <c r="K1438" t="s">
        <v>371</v>
      </c>
      <c r="L1438" t="s">
        <v>198</v>
      </c>
      <c r="M1438" t="s">
        <v>6</v>
      </c>
    </row>
    <row r="1439" spans="1:13" x14ac:dyDescent="0.25">
      <c r="A1439" s="3" t="s">
        <v>199</v>
      </c>
      <c r="B1439" s="4">
        <v>18</v>
      </c>
      <c r="C1439" s="4"/>
      <c r="D1439" s="4" t="s">
        <v>198</v>
      </c>
      <c r="E1439" s="4" t="s">
        <v>6</v>
      </c>
      <c r="F1439">
        <f>COUNTIFS($D$2:D1439,D1439)</f>
        <v>27</v>
      </c>
      <c r="G1439" t="str">
        <f t="shared" si="22"/>
        <v>3871M</v>
      </c>
      <c r="H1439">
        <v>5.4480738999999998</v>
      </c>
      <c r="I1439">
        <v>52.172440299999998</v>
      </c>
      <c r="J1439" t="s">
        <v>524</v>
      </c>
      <c r="K1439" t="s">
        <v>267</v>
      </c>
      <c r="L1439" t="s">
        <v>198</v>
      </c>
      <c r="M1439" t="s">
        <v>6</v>
      </c>
    </row>
    <row r="1440" spans="1:13" x14ac:dyDescent="0.25">
      <c r="A1440" s="3" t="s">
        <v>199</v>
      </c>
      <c r="B1440" s="4">
        <v>20</v>
      </c>
      <c r="C1440" s="4"/>
      <c r="D1440" s="4" t="s">
        <v>198</v>
      </c>
      <c r="E1440" s="4" t="s">
        <v>6</v>
      </c>
      <c r="F1440">
        <f>COUNTIFS($D$2:D1440,D1440)</f>
        <v>28</v>
      </c>
      <c r="G1440" t="str">
        <f t="shared" si="22"/>
        <v>3871M</v>
      </c>
      <c r="H1440">
        <v>5.4480883999999996</v>
      </c>
      <c r="I1440">
        <v>52.172377300000001</v>
      </c>
      <c r="J1440" t="s">
        <v>524</v>
      </c>
      <c r="K1440" t="s">
        <v>372</v>
      </c>
      <c r="L1440" t="s">
        <v>198</v>
      </c>
      <c r="M1440" t="s">
        <v>6</v>
      </c>
    </row>
    <row r="1441" spans="1:13" x14ac:dyDescent="0.25">
      <c r="A1441" s="3" t="s">
        <v>199</v>
      </c>
      <c r="B1441" s="4">
        <v>22</v>
      </c>
      <c r="C1441" s="4"/>
      <c r="D1441" s="4" t="s">
        <v>198</v>
      </c>
      <c r="E1441" s="4" t="s">
        <v>6</v>
      </c>
      <c r="F1441">
        <f>COUNTIFS($D$2:D1441,D1441)</f>
        <v>29</v>
      </c>
      <c r="G1441" t="str">
        <f t="shared" si="22"/>
        <v>3871M</v>
      </c>
      <c r="H1441">
        <v>5.4481760000000001</v>
      </c>
      <c r="I1441">
        <v>52.172278400000003</v>
      </c>
      <c r="J1441" t="s">
        <v>524</v>
      </c>
      <c r="K1441" t="s">
        <v>269</v>
      </c>
      <c r="L1441" t="s">
        <v>198</v>
      </c>
      <c r="M1441" t="s">
        <v>6</v>
      </c>
    </row>
    <row r="1442" spans="1:13" x14ac:dyDescent="0.25">
      <c r="A1442" s="3" t="s">
        <v>199</v>
      </c>
      <c r="B1442" s="4">
        <v>24</v>
      </c>
      <c r="C1442" s="4"/>
      <c r="D1442" s="4" t="s">
        <v>198</v>
      </c>
      <c r="E1442" s="4" t="s">
        <v>6</v>
      </c>
      <c r="F1442">
        <f>COUNTIFS($D$2:D1442,D1442)</f>
        <v>30</v>
      </c>
      <c r="G1442" t="str">
        <f t="shared" si="22"/>
        <v>3871M</v>
      </c>
      <c r="H1442">
        <v>5.4481758999999998</v>
      </c>
      <c r="I1442">
        <v>52.1722155</v>
      </c>
      <c r="J1442" t="s">
        <v>524</v>
      </c>
      <c r="K1442" t="s">
        <v>270</v>
      </c>
      <c r="L1442" t="s">
        <v>198</v>
      </c>
      <c r="M1442" t="s">
        <v>6</v>
      </c>
    </row>
    <row r="1443" spans="1:13" x14ac:dyDescent="0.25">
      <c r="A1443" s="3" t="s">
        <v>200</v>
      </c>
      <c r="B1443" s="4">
        <v>1</v>
      </c>
      <c r="C1443" s="4"/>
      <c r="D1443" s="4" t="s">
        <v>201</v>
      </c>
      <c r="E1443" s="4" t="s">
        <v>6</v>
      </c>
      <c r="F1443">
        <f>COUNTIFS($D$2:D1443,D1443)</f>
        <v>1</v>
      </c>
      <c r="G1443" t="str">
        <f t="shared" si="22"/>
        <v>3871M</v>
      </c>
      <c r="H1443">
        <v>5.4585660000000003</v>
      </c>
      <c r="I1443">
        <v>52.168732599999998</v>
      </c>
      <c r="J1443" t="s">
        <v>525</v>
      </c>
      <c r="K1443" t="s">
        <v>355</v>
      </c>
      <c r="L1443" t="s">
        <v>201</v>
      </c>
      <c r="M1443" t="s">
        <v>6</v>
      </c>
    </row>
    <row r="1444" spans="1:13" x14ac:dyDescent="0.25">
      <c r="A1444" s="3" t="s">
        <v>200</v>
      </c>
      <c r="B1444" s="4">
        <v>3</v>
      </c>
      <c r="C1444" s="4"/>
      <c r="D1444" s="4" t="s">
        <v>201</v>
      </c>
      <c r="E1444" s="4" t="s">
        <v>6</v>
      </c>
      <c r="F1444">
        <f>COUNTIFS($D$2:D1444,D1444)</f>
        <v>2</v>
      </c>
      <c r="G1444" t="str">
        <f t="shared" si="22"/>
        <v>3871M</v>
      </c>
      <c r="H1444">
        <v>5.4586566999999997</v>
      </c>
      <c r="I1444">
        <v>52.168723800000002</v>
      </c>
      <c r="J1444" t="s">
        <v>525</v>
      </c>
      <c r="K1444" t="s">
        <v>356</v>
      </c>
      <c r="L1444" t="s">
        <v>201</v>
      </c>
      <c r="M1444" t="s">
        <v>6</v>
      </c>
    </row>
    <row r="1445" spans="1:13" x14ac:dyDescent="0.25">
      <c r="A1445" s="3" t="s">
        <v>200</v>
      </c>
      <c r="B1445" s="4">
        <v>5</v>
      </c>
      <c r="C1445" s="4"/>
      <c r="D1445" s="4" t="s">
        <v>201</v>
      </c>
      <c r="E1445" s="4" t="s">
        <v>6</v>
      </c>
      <c r="F1445">
        <f>COUNTIFS($D$2:D1445,D1445)</f>
        <v>3</v>
      </c>
      <c r="G1445" t="str">
        <f t="shared" si="22"/>
        <v>3871M</v>
      </c>
      <c r="H1445">
        <v>5.4588863999999999</v>
      </c>
      <c r="I1445">
        <v>52.168721900000001</v>
      </c>
      <c r="J1445" t="s">
        <v>525</v>
      </c>
      <c r="K1445" t="s">
        <v>357</v>
      </c>
      <c r="L1445" t="s">
        <v>201</v>
      </c>
      <c r="M1445" t="s">
        <v>6</v>
      </c>
    </row>
    <row r="1446" spans="1:13" x14ac:dyDescent="0.25">
      <c r="A1446" s="3" t="s">
        <v>200</v>
      </c>
      <c r="B1446" s="4">
        <v>7</v>
      </c>
      <c r="C1446" s="4"/>
      <c r="D1446" s="4" t="s">
        <v>201</v>
      </c>
      <c r="E1446" s="4" t="s">
        <v>6</v>
      </c>
      <c r="F1446">
        <f>COUNTIFS($D$2:D1446,D1446)</f>
        <v>4</v>
      </c>
      <c r="G1446" t="str">
        <f t="shared" si="22"/>
        <v>3871M</v>
      </c>
      <c r="H1446">
        <v>5.4589857999999998</v>
      </c>
      <c r="I1446">
        <v>52.168718800000001</v>
      </c>
      <c r="J1446" t="s">
        <v>525</v>
      </c>
      <c r="K1446" t="s">
        <v>358</v>
      </c>
      <c r="L1446" t="s">
        <v>201</v>
      </c>
      <c r="M1446" t="s">
        <v>6</v>
      </c>
    </row>
    <row r="1447" spans="1:13" x14ac:dyDescent="0.25">
      <c r="A1447" s="3" t="s">
        <v>200</v>
      </c>
      <c r="B1447" s="4">
        <v>9</v>
      </c>
      <c r="C1447" s="4"/>
      <c r="D1447" s="4" t="s">
        <v>201</v>
      </c>
      <c r="E1447" s="4" t="s">
        <v>6</v>
      </c>
      <c r="F1447">
        <f>COUNTIFS($D$2:D1447,D1447)</f>
        <v>5</v>
      </c>
      <c r="G1447" t="str">
        <f t="shared" si="22"/>
        <v>3871M</v>
      </c>
      <c r="H1447">
        <v>5.4591671000000002</v>
      </c>
      <c r="I1447">
        <v>52.168718300000002</v>
      </c>
      <c r="J1447" t="s">
        <v>525</v>
      </c>
      <c r="K1447" t="s">
        <v>382</v>
      </c>
      <c r="L1447" t="s">
        <v>201</v>
      </c>
      <c r="M1447" t="s">
        <v>6</v>
      </c>
    </row>
    <row r="1448" spans="1:13" x14ac:dyDescent="0.25">
      <c r="A1448" s="3" t="s">
        <v>200</v>
      </c>
      <c r="B1448" s="4">
        <v>11</v>
      </c>
      <c r="C1448" s="4"/>
      <c r="D1448" s="4" t="s">
        <v>201</v>
      </c>
      <c r="E1448" s="4" t="s">
        <v>6</v>
      </c>
      <c r="F1448">
        <f>COUNTIFS($D$2:D1448,D1448)</f>
        <v>6</v>
      </c>
      <c r="G1448" t="str">
        <f t="shared" si="22"/>
        <v>3871M</v>
      </c>
      <c r="H1448">
        <v>5.4592606999999997</v>
      </c>
      <c r="I1448">
        <v>52.168718200000001</v>
      </c>
      <c r="J1448" t="s">
        <v>525</v>
      </c>
      <c r="K1448" t="s">
        <v>391</v>
      </c>
      <c r="L1448" t="s">
        <v>201</v>
      </c>
      <c r="M1448" t="s">
        <v>6</v>
      </c>
    </row>
    <row r="1449" spans="1:13" x14ac:dyDescent="0.25">
      <c r="A1449" s="3" t="s">
        <v>200</v>
      </c>
      <c r="B1449" s="4">
        <v>13</v>
      </c>
      <c r="C1449" s="4"/>
      <c r="D1449" s="4" t="s">
        <v>201</v>
      </c>
      <c r="E1449" s="4" t="s">
        <v>6</v>
      </c>
      <c r="F1449">
        <f>COUNTIFS($D$2:D1449,D1449)</f>
        <v>7</v>
      </c>
      <c r="G1449" t="str">
        <f t="shared" si="22"/>
        <v>3871M</v>
      </c>
      <c r="H1449">
        <v>5.4595016999999997</v>
      </c>
      <c r="I1449">
        <v>52.168714600000001</v>
      </c>
      <c r="J1449" t="s">
        <v>525</v>
      </c>
      <c r="K1449" t="s">
        <v>359</v>
      </c>
      <c r="L1449" t="s">
        <v>201</v>
      </c>
      <c r="M1449" t="s">
        <v>6</v>
      </c>
    </row>
    <row r="1450" spans="1:13" x14ac:dyDescent="0.25">
      <c r="A1450" s="3" t="s">
        <v>200</v>
      </c>
      <c r="B1450" s="4">
        <v>15</v>
      </c>
      <c r="C1450" s="4"/>
      <c r="D1450" s="4" t="s">
        <v>201</v>
      </c>
      <c r="E1450" s="4" t="s">
        <v>6</v>
      </c>
      <c r="F1450">
        <f>COUNTIFS($D$2:D1450,D1450)</f>
        <v>8</v>
      </c>
      <c r="G1450" t="str">
        <f t="shared" si="22"/>
        <v>3871M</v>
      </c>
      <c r="H1450">
        <v>5.4595981</v>
      </c>
      <c r="I1450">
        <v>52.168712800000002</v>
      </c>
      <c r="J1450" t="s">
        <v>525</v>
      </c>
      <c r="K1450" t="s">
        <v>383</v>
      </c>
      <c r="L1450" t="s">
        <v>201</v>
      </c>
      <c r="M1450" t="s">
        <v>6</v>
      </c>
    </row>
    <row r="1451" spans="1:13" x14ac:dyDescent="0.25">
      <c r="A1451" s="3" t="s">
        <v>200</v>
      </c>
      <c r="B1451" s="4">
        <v>17</v>
      </c>
      <c r="C1451" s="4"/>
      <c r="D1451" s="4" t="s">
        <v>201</v>
      </c>
      <c r="E1451" s="4" t="s">
        <v>6</v>
      </c>
      <c r="F1451">
        <f>COUNTIFS($D$2:D1451,D1451)</f>
        <v>9</v>
      </c>
      <c r="G1451" t="str">
        <f t="shared" si="22"/>
        <v>3871M</v>
      </c>
      <c r="H1451">
        <v>5.4597823999999999</v>
      </c>
      <c r="I1451">
        <v>52.168717899999997</v>
      </c>
      <c r="J1451" t="s">
        <v>525</v>
      </c>
      <c r="K1451" t="s">
        <v>360</v>
      </c>
      <c r="L1451" t="s">
        <v>201</v>
      </c>
      <c r="M1451" t="s">
        <v>6</v>
      </c>
    </row>
    <row r="1452" spans="1:13" x14ac:dyDescent="0.25">
      <c r="A1452" s="3" t="s">
        <v>200</v>
      </c>
      <c r="B1452" s="4">
        <v>19</v>
      </c>
      <c r="C1452" s="4"/>
      <c r="D1452" s="4" t="s">
        <v>201</v>
      </c>
      <c r="E1452" s="4" t="s">
        <v>6</v>
      </c>
      <c r="F1452">
        <f>COUNTIFS($D$2:D1452,D1452)</f>
        <v>10</v>
      </c>
      <c r="G1452" t="str">
        <f t="shared" si="22"/>
        <v>3871M</v>
      </c>
      <c r="H1452">
        <v>5.4598760000000004</v>
      </c>
      <c r="I1452">
        <v>52.168716099999997</v>
      </c>
      <c r="J1452" t="s">
        <v>525</v>
      </c>
      <c r="K1452" t="s">
        <v>361</v>
      </c>
      <c r="L1452" t="s">
        <v>201</v>
      </c>
      <c r="M1452" t="s">
        <v>6</v>
      </c>
    </row>
    <row r="1453" spans="1:13" x14ac:dyDescent="0.25">
      <c r="A1453" s="3" t="s">
        <v>200</v>
      </c>
      <c r="B1453" s="4">
        <v>21</v>
      </c>
      <c r="C1453" s="4"/>
      <c r="D1453" s="4" t="s">
        <v>201</v>
      </c>
      <c r="E1453" s="4" t="s">
        <v>6</v>
      </c>
      <c r="F1453">
        <f>COUNTIFS($D$2:D1453,D1453)</f>
        <v>11</v>
      </c>
      <c r="G1453" t="str">
        <f t="shared" si="22"/>
        <v>3871M</v>
      </c>
      <c r="H1453">
        <v>5.4601027999999996</v>
      </c>
      <c r="I1453">
        <v>52.168717700000002</v>
      </c>
      <c r="J1453" t="s">
        <v>525</v>
      </c>
      <c r="K1453" t="s">
        <v>362</v>
      </c>
      <c r="L1453" t="s">
        <v>201</v>
      </c>
      <c r="M1453" t="s">
        <v>6</v>
      </c>
    </row>
    <row r="1454" spans="1:13" x14ac:dyDescent="0.25">
      <c r="A1454" s="3" t="s">
        <v>200</v>
      </c>
      <c r="B1454" s="4">
        <v>22</v>
      </c>
      <c r="C1454" s="4"/>
      <c r="D1454" s="4" t="s">
        <v>201</v>
      </c>
      <c r="E1454" s="4" t="s">
        <v>6</v>
      </c>
      <c r="F1454">
        <f>COUNTIFS($D$2:D1454,D1454)</f>
        <v>12</v>
      </c>
      <c r="G1454" t="str">
        <f t="shared" si="22"/>
        <v>3871M</v>
      </c>
      <c r="H1454">
        <v>5.4594886000000002</v>
      </c>
      <c r="I1454">
        <v>52.168938799999999</v>
      </c>
      <c r="J1454" t="s">
        <v>525</v>
      </c>
      <c r="K1454" t="s">
        <v>269</v>
      </c>
      <c r="L1454" t="s">
        <v>201</v>
      </c>
      <c r="M1454" t="s">
        <v>6</v>
      </c>
    </row>
    <row r="1455" spans="1:13" x14ac:dyDescent="0.25">
      <c r="A1455" s="3" t="s">
        <v>200</v>
      </c>
      <c r="B1455" s="4">
        <v>23</v>
      </c>
      <c r="C1455" s="4"/>
      <c r="D1455" s="4" t="s">
        <v>201</v>
      </c>
      <c r="E1455" s="4" t="s">
        <v>6</v>
      </c>
      <c r="F1455">
        <f>COUNTIFS($D$2:D1455,D1455)</f>
        <v>13</v>
      </c>
      <c r="G1455" t="str">
        <f t="shared" si="22"/>
        <v>3871M</v>
      </c>
      <c r="H1455">
        <v>5.4601993000000002</v>
      </c>
      <c r="I1455">
        <v>52.168717600000001</v>
      </c>
      <c r="J1455" t="s">
        <v>525</v>
      </c>
      <c r="K1455" t="s">
        <v>384</v>
      </c>
      <c r="L1455" t="s">
        <v>201</v>
      </c>
      <c r="M1455" t="s">
        <v>6</v>
      </c>
    </row>
    <row r="1456" spans="1:13" x14ac:dyDescent="0.25">
      <c r="A1456" s="3" t="s">
        <v>200</v>
      </c>
      <c r="B1456" s="4">
        <v>24</v>
      </c>
      <c r="C1456" s="4"/>
      <c r="D1456" s="4" t="s">
        <v>201</v>
      </c>
      <c r="E1456" s="4" t="s">
        <v>6</v>
      </c>
      <c r="F1456">
        <f>COUNTIFS($D$2:D1456,D1456)</f>
        <v>14</v>
      </c>
      <c r="G1456" t="str">
        <f t="shared" si="22"/>
        <v>3871M</v>
      </c>
      <c r="H1456">
        <v>5.4595694000000003</v>
      </c>
      <c r="I1456">
        <v>52.168938699999998</v>
      </c>
      <c r="J1456" t="s">
        <v>525</v>
      </c>
      <c r="K1456" t="s">
        <v>270</v>
      </c>
      <c r="L1456" t="s">
        <v>201</v>
      </c>
      <c r="M1456" t="s">
        <v>6</v>
      </c>
    </row>
    <row r="1457" spans="1:13" x14ac:dyDescent="0.25">
      <c r="A1457" s="3" t="s">
        <v>200</v>
      </c>
      <c r="B1457" s="4">
        <v>25</v>
      </c>
      <c r="C1457" s="4"/>
      <c r="D1457" s="4" t="s">
        <v>201</v>
      </c>
      <c r="E1457" s="4" t="s">
        <v>6</v>
      </c>
      <c r="F1457">
        <f>COUNTIFS($D$2:D1457,D1457)</f>
        <v>15</v>
      </c>
      <c r="G1457" t="str">
        <f t="shared" si="22"/>
        <v>3871M</v>
      </c>
      <c r="H1457">
        <v>5.4604289000000001</v>
      </c>
      <c r="I1457">
        <v>52.168720999999998</v>
      </c>
      <c r="J1457" t="s">
        <v>525</v>
      </c>
      <c r="K1457" t="s">
        <v>385</v>
      </c>
      <c r="L1457" t="s">
        <v>201</v>
      </c>
      <c r="M1457" t="s">
        <v>6</v>
      </c>
    </row>
    <row r="1458" spans="1:13" x14ac:dyDescent="0.25">
      <c r="A1458" s="3" t="s">
        <v>200</v>
      </c>
      <c r="B1458" s="4">
        <v>26</v>
      </c>
      <c r="C1458" s="4"/>
      <c r="D1458" s="4" t="s">
        <v>201</v>
      </c>
      <c r="E1458" s="4" t="s">
        <v>6</v>
      </c>
      <c r="F1458">
        <f>COUNTIFS($D$2:D1458,D1458)</f>
        <v>16</v>
      </c>
      <c r="G1458" t="str">
        <f t="shared" si="22"/>
        <v>3871M</v>
      </c>
      <c r="H1458">
        <v>5.4596507000000001</v>
      </c>
      <c r="I1458">
        <v>52.168938599999997</v>
      </c>
      <c r="J1458" t="s">
        <v>525</v>
      </c>
      <c r="K1458" t="s">
        <v>271</v>
      </c>
      <c r="L1458" t="s">
        <v>201</v>
      </c>
      <c r="M1458" t="s">
        <v>6</v>
      </c>
    </row>
    <row r="1459" spans="1:13" x14ac:dyDescent="0.25">
      <c r="A1459" s="3" t="s">
        <v>200</v>
      </c>
      <c r="B1459" s="4">
        <v>27</v>
      </c>
      <c r="C1459" s="4"/>
      <c r="D1459" s="4" t="s">
        <v>201</v>
      </c>
      <c r="E1459" s="4" t="s">
        <v>6</v>
      </c>
      <c r="F1459">
        <f>COUNTIFS($D$2:D1459,D1459)</f>
        <v>17</v>
      </c>
      <c r="G1459" t="str">
        <f t="shared" si="22"/>
        <v>3871M</v>
      </c>
      <c r="H1459">
        <v>5.4605281999999997</v>
      </c>
      <c r="I1459">
        <v>52.168719199999998</v>
      </c>
      <c r="J1459" t="s">
        <v>525</v>
      </c>
      <c r="K1459" t="s">
        <v>393</v>
      </c>
      <c r="L1459" t="s">
        <v>201</v>
      </c>
      <c r="M1459" t="s">
        <v>6</v>
      </c>
    </row>
    <row r="1460" spans="1:13" x14ac:dyDescent="0.25">
      <c r="A1460" s="3" t="s">
        <v>200</v>
      </c>
      <c r="B1460" s="4">
        <v>28</v>
      </c>
      <c r="C1460" s="4"/>
      <c r="D1460" s="4" t="s">
        <v>201</v>
      </c>
      <c r="E1460" s="4" t="s">
        <v>6</v>
      </c>
      <c r="F1460">
        <f>COUNTIFS($D$2:D1460,D1460)</f>
        <v>18</v>
      </c>
      <c r="G1460" t="str">
        <f t="shared" si="22"/>
        <v>3871M</v>
      </c>
      <c r="H1460">
        <v>5.4608129999999999</v>
      </c>
      <c r="I1460">
        <v>52.168952900000001</v>
      </c>
      <c r="J1460" t="s">
        <v>525</v>
      </c>
      <c r="K1460" t="s">
        <v>272</v>
      </c>
      <c r="L1460" t="s">
        <v>201</v>
      </c>
      <c r="M1460" t="s">
        <v>6</v>
      </c>
    </row>
    <row r="1461" spans="1:13" x14ac:dyDescent="0.25">
      <c r="A1461" s="3" t="s">
        <v>200</v>
      </c>
      <c r="B1461" s="4">
        <v>29</v>
      </c>
      <c r="C1461" s="4"/>
      <c r="D1461" s="4" t="s">
        <v>201</v>
      </c>
      <c r="E1461" s="4" t="s">
        <v>6</v>
      </c>
      <c r="F1461">
        <f>COUNTIFS($D$2:D1461,D1461)</f>
        <v>19</v>
      </c>
      <c r="G1461" t="str">
        <f t="shared" si="22"/>
        <v>3871M</v>
      </c>
      <c r="H1461">
        <v>5.4609756000000003</v>
      </c>
      <c r="I1461">
        <v>52.1687029</v>
      </c>
      <c r="J1461" t="s">
        <v>525</v>
      </c>
      <c r="K1461" t="s">
        <v>364</v>
      </c>
      <c r="L1461" t="s">
        <v>201</v>
      </c>
      <c r="M1461" t="s">
        <v>6</v>
      </c>
    </row>
    <row r="1462" spans="1:13" x14ac:dyDescent="0.25">
      <c r="A1462" s="3" t="s">
        <v>200</v>
      </c>
      <c r="B1462" s="4">
        <v>30</v>
      </c>
      <c r="C1462" s="4"/>
      <c r="D1462" s="4" t="s">
        <v>201</v>
      </c>
      <c r="E1462" s="4" t="s">
        <v>6</v>
      </c>
      <c r="F1462">
        <f>COUNTIFS($D$2:D1462,D1462)</f>
        <v>20</v>
      </c>
      <c r="G1462" t="str">
        <f t="shared" si="22"/>
        <v>3871M</v>
      </c>
      <c r="H1462">
        <v>5.4608185999999996</v>
      </c>
      <c r="I1462">
        <v>52.169005300000002</v>
      </c>
      <c r="J1462" t="s">
        <v>525</v>
      </c>
      <c r="K1462" t="s">
        <v>373</v>
      </c>
      <c r="L1462" t="s">
        <v>201</v>
      </c>
      <c r="M1462" t="s">
        <v>6</v>
      </c>
    </row>
    <row r="1463" spans="1:13" x14ac:dyDescent="0.25">
      <c r="A1463" s="3" t="s">
        <v>200</v>
      </c>
      <c r="B1463" s="4">
        <v>31</v>
      </c>
      <c r="C1463" s="4"/>
      <c r="D1463" s="4" t="s">
        <v>201</v>
      </c>
      <c r="E1463" s="4" t="s">
        <v>6</v>
      </c>
      <c r="F1463">
        <f>COUNTIFS($D$2:D1463,D1463)</f>
        <v>21</v>
      </c>
      <c r="G1463" t="str">
        <f t="shared" si="22"/>
        <v>3871M</v>
      </c>
      <c r="H1463">
        <v>5.4611656999999996</v>
      </c>
      <c r="I1463">
        <v>52.168711799999997</v>
      </c>
      <c r="J1463" t="s">
        <v>525</v>
      </c>
      <c r="K1463" t="s">
        <v>323</v>
      </c>
      <c r="L1463" t="s">
        <v>201</v>
      </c>
      <c r="M1463" t="s">
        <v>6</v>
      </c>
    </row>
    <row r="1464" spans="1:13" x14ac:dyDescent="0.25">
      <c r="A1464" s="3" t="s">
        <v>200</v>
      </c>
      <c r="B1464" s="4">
        <v>32</v>
      </c>
      <c r="C1464" s="4"/>
      <c r="D1464" s="4" t="s">
        <v>201</v>
      </c>
      <c r="E1464" s="4" t="s">
        <v>6</v>
      </c>
      <c r="F1464">
        <f>COUNTIFS($D$2:D1464,D1464)</f>
        <v>22</v>
      </c>
      <c r="G1464" t="str">
        <f t="shared" si="22"/>
        <v>3871M</v>
      </c>
      <c r="H1464">
        <v>5.4608188000000002</v>
      </c>
      <c r="I1464">
        <v>52.1690489</v>
      </c>
      <c r="J1464" t="s">
        <v>525</v>
      </c>
      <c r="K1464" t="s">
        <v>273</v>
      </c>
      <c r="L1464" t="s">
        <v>201</v>
      </c>
      <c r="M1464" t="s">
        <v>6</v>
      </c>
    </row>
    <row r="1465" spans="1:13" x14ac:dyDescent="0.25">
      <c r="A1465" s="3" t="s">
        <v>200</v>
      </c>
      <c r="B1465" s="4">
        <v>33</v>
      </c>
      <c r="C1465" s="4"/>
      <c r="D1465" s="4" t="s">
        <v>201</v>
      </c>
      <c r="E1465" s="4" t="s">
        <v>6</v>
      </c>
      <c r="F1465">
        <f>COUNTIFS($D$2:D1465,D1465)</f>
        <v>23</v>
      </c>
      <c r="G1465" t="str">
        <f t="shared" si="22"/>
        <v>3871M</v>
      </c>
      <c r="H1465">
        <v>5.4613265000000002</v>
      </c>
      <c r="I1465">
        <v>52.168738599999998</v>
      </c>
      <c r="J1465" t="s">
        <v>525</v>
      </c>
      <c r="K1465" t="s">
        <v>365</v>
      </c>
      <c r="L1465" t="s">
        <v>201</v>
      </c>
      <c r="M1465" t="s">
        <v>6</v>
      </c>
    </row>
    <row r="1466" spans="1:13" x14ac:dyDescent="0.25">
      <c r="A1466" s="3" t="s">
        <v>200</v>
      </c>
      <c r="B1466" s="4">
        <v>34</v>
      </c>
      <c r="C1466" s="4"/>
      <c r="D1466" s="4" t="s">
        <v>201</v>
      </c>
      <c r="E1466" s="4" t="s">
        <v>6</v>
      </c>
      <c r="F1466">
        <f>COUNTIFS($D$2:D1466,D1466)</f>
        <v>24</v>
      </c>
      <c r="G1466" t="str">
        <f t="shared" si="22"/>
        <v>3871M</v>
      </c>
      <c r="H1466">
        <v>5.4608178000000001</v>
      </c>
      <c r="I1466">
        <v>52.1690921</v>
      </c>
      <c r="J1466" t="s">
        <v>525</v>
      </c>
      <c r="K1466" t="s">
        <v>274</v>
      </c>
      <c r="L1466" t="s">
        <v>201</v>
      </c>
      <c r="M1466" t="s">
        <v>6</v>
      </c>
    </row>
    <row r="1467" spans="1:13" x14ac:dyDescent="0.25">
      <c r="A1467" s="3" t="s">
        <v>200</v>
      </c>
      <c r="B1467" s="4">
        <v>35</v>
      </c>
      <c r="C1467" s="4"/>
      <c r="D1467" s="4" t="s">
        <v>201</v>
      </c>
      <c r="E1467" s="4" t="s">
        <v>6</v>
      </c>
      <c r="F1467">
        <f>COUNTIFS($D$2:D1467,D1467)</f>
        <v>25</v>
      </c>
      <c r="G1467" t="str">
        <f t="shared" si="22"/>
        <v>3871M</v>
      </c>
      <c r="H1467">
        <v>5.4615311000000002</v>
      </c>
      <c r="I1467">
        <v>52.168729499999998</v>
      </c>
      <c r="J1467" t="s">
        <v>525</v>
      </c>
      <c r="K1467" t="s">
        <v>366</v>
      </c>
      <c r="L1467" t="s">
        <v>201</v>
      </c>
      <c r="M1467" t="s">
        <v>6</v>
      </c>
    </row>
    <row r="1468" spans="1:13" x14ac:dyDescent="0.25">
      <c r="A1468" s="3" t="s">
        <v>200</v>
      </c>
      <c r="B1468" s="4">
        <v>36</v>
      </c>
      <c r="C1468" s="4"/>
      <c r="D1468" s="4" t="s">
        <v>201</v>
      </c>
      <c r="E1468" s="4" t="s">
        <v>6</v>
      </c>
      <c r="F1468">
        <f>COUNTIFS($D$2:D1468,D1468)</f>
        <v>26</v>
      </c>
      <c r="G1468" t="str">
        <f t="shared" si="22"/>
        <v>3871M</v>
      </c>
      <c r="H1468">
        <v>5.4608188000000002</v>
      </c>
      <c r="I1468">
        <v>52.169134800000002</v>
      </c>
      <c r="J1468" t="s">
        <v>525</v>
      </c>
      <c r="K1468" t="s">
        <v>275</v>
      </c>
      <c r="L1468" t="s">
        <v>201</v>
      </c>
      <c r="M1468" t="s">
        <v>6</v>
      </c>
    </row>
    <row r="1469" spans="1:13" x14ac:dyDescent="0.25">
      <c r="A1469" s="3" t="s">
        <v>200</v>
      </c>
      <c r="B1469" s="4">
        <v>37</v>
      </c>
      <c r="C1469" s="4"/>
      <c r="D1469" s="4" t="s">
        <v>201</v>
      </c>
      <c r="E1469" s="4" t="s">
        <v>6</v>
      </c>
      <c r="F1469">
        <f>COUNTIFS($D$2:D1469,D1469)</f>
        <v>27</v>
      </c>
      <c r="G1469" t="str">
        <f t="shared" si="22"/>
        <v>3871M</v>
      </c>
      <c r="H1469">
        <v>5.4617794999999996</v>
      </c>
      <c r="I1469">
        <v>52.168684399999997</v>
      </c>
      <c r="J1469" t="s">
        <v>525</v>
      </c>
      <c r="K1469" t="s">
        <v>367</v>
      </c>
      <c r="L1469" t="s">
        <v>201</v>
      </c>
      <c r="M1469" t="s">
        <v>6</v>
      </c>
    </row>
    <row r="1470" spans="1:13" x14ac:dyDescent="0.25">
      <c r="A1470" s="3" t="s">
        <v>200</v>
      </c>
      <c r="B1470" s="4">
        <v>38</v>
      </c>
      <c r="C1470" s="4"/>
      <c r="D1470" s="4" t="s">
        <v>201</v>
      </c>
      <c r="E1470" s="4" t="s">
        <v>6</v>
      </c>
      <c r="F1470">
        <f>COUNTIFS($D$2:D1470,D1470)</f>
        <v>28</v>
      </c>
      <c r="G1470" t="str">
        <f t="shared" si="22"/>
        <v>3871M</v>
      </c>
      <c r="H1470">
        <v>5.4608188999999996</v>
      </c>
      <c r="I1470">
        <v>52.169177900000001</v>
      </c>
      <c r="J1470" t="s">
        <v>525</v>
      </c>
      <c r="K1470" t="s">
        <v>374</v>
      </c>
      <c r="L1470" t="s">
        <v>201</v>
      </c>
      <c r="M1470" t="s">
        <v>6</v>
      </c>
    </row>
    <row r="1471" spans="1:13" x14ac:dyDescent="0.25">
      <c r="A1471" s="3" t="s">
        <v>200</v>
      </c>
      <c r="B1471" s="4">
        <v>40</v>
      </c>
      <c r="C1471" s="4"/>
      <c r="D1471" s="4" t="s">
        <v>201</v>
      </c>
      <c r="E1471" s="4" t="s">
        <v>6</v>
      </c>
      <c r="F1471">
        <f>COUNTIFS($D$2:D1471,D1471)</f>
        <v>29</v>
      </c>
      <c r="G1471" t="str">
        <f t="shared" si="22"/>
        <v>3871M</v>
      </c>
      <c r="H1471">
        <v>5.4608138000000004</v>
      </c>
      <c r="I1471">
        <v>52.169230300000002</v>
      </c>
      <c r="J1471" t="s">
        <v>525</v>
      </c>
      <c r="K1471" t="s">
        <v>276</v>
      </c>
      <c r="L1471" t="s">
        <v>201</v>
      </c>
      <c r="M1471" t="s">
        <v>6</v>
      </c>
    </row>
    <row r="1472" spans="1:13" x14ac:dyDescent="0.25">
      <c r="A1472" s="3" t="s">
        <v>202</v>
      </c>
      <c r="B1472" s="4">
        <v>10</v>
      </c>
      <c r="C1472" s="4"/>
      <c r="D1472" s="4" t="s">
        <v>203</v>
      </c>
      <c r="E1472" s="4" t="s">
        <v>6</v>
      </c>
      <c r="F1472">
        <f>COUNTIFS($D$2:D1472,D1472)</f>
        <v>1</v>
      </c>
      <c r="G1472" t="str">
        <f t="shared" si="22"/>
        <v>3871M</v>
      </c>
      <c r="H1472">
        <v>5.4604124000000001</v>
      </c>
      <c r="I1472">
        <v>52.169230599999999</v>
      </c>
      <c r="J1472" t="s">
        <v>526</v>
      </c>
      <c r="K1472" t="s">
        <v>264</v>
      </c>
      <c r="L1472" t="s">
        <v>203</v>
      </c>
      <c r="M1472" t="s">
        <v>6</v>
      </c>
    </row>
    <row r="1473" spans="1:13" x14ac:dyDescent="0.25">
      <c r="A1473" s="3" t="s">
        <v>202</v>
      </c>
      <c r="B1473" s="4">
        <v>12</v>
      </c>
      <c r="C1473" s="4"/>
      <c r="D1473" s="4" t="s">
        <v>203</v>
      </c>
      <c r="E1473" s="4" t="s">
        <v>6</v>
      </c>
      <c r="F1473">
        <f>COUNTIFS($D$2:D1473,D1473)</f>
        <v>2</v>
      </c>
      <c r="G1473" t="str">
        <f t="shared" si="22"/>
        <v>3871M</v>
      </c>
      <c r="H1473">
        <v>5.4604071000000003</v>
      </c>
      <c r="I1473">
        <v>52.169178199999998</v>
      </c>
      <c r="J1473" t="s">
        <v>526</v>
      </c>
      <c r="K1473" t="s">
        <v>265</v>
      </c>
      <c r="L1473" t="s">
        <v>203</v>
      </c>
      <c r="M1473" t="s">
        <v>6</v>
      </c>
    </row>
    <row r="1474" spans="1:13" x14ac:dyDescent="0.25">
      <c r="A1474" s="3" t="s">
        <v>202</v>
      </c>
      <c r="B1474" s="4">
        <v>14</v>
      </c>
      <c r="C1474" s="4"/>
      <c r="D1474" s="4" t="s">
        <v>203</v>
      </c>
      <c r="E1474" s="4" t="s">
        <v>6</v>
      </c>
      <c r="F1474">
        <f>COUNTIFS($D$2:D1474,D1474)</f>
        <v>3</v>
      </c>
      <c r="G1474" t="str">
        <f t="shared" ref="G1474:G1537" si="23">LEFT(A1474,5)</f>
        <v>3871M</v>
      </c>
      <c r="H1474">
        <v>5.4603983999999999</v>
      </c>
      <c r="I1474">
        <v>52.1691395</v>
      </c>
      <c r="J1474" t="s">
        <v>526</v>
      </c>
      <c r="K1474" t="s">
        <v>266</v>
      </c>
      <c r="L1474" t="s">
        <v>203</v>
      </c>
      <c r="M1474" t="s">
        <v>6</v>
      </c>
    </row>
    <row r="1475" spans="1:13" x14ac:dyDescent="0.25">
      <c r="A1475" s="3" t="s">
        <v>202</v>
      </c>
      <c r="B1475" s="4">
        <v>16</v>
      </c>
      <c r="C1475" s="4"/>
      <c r="D1475" s="4" t="s">
        <v>203</v>
      </c>
      <c r="E1475" s="4" t="s">
        <v>6</v>
      </c>
      <c r="F1475">
        <f>COUNTIFS($D$2:D1475,D1475)</f>
        <v>4</v>
      </c>
      <c r="G1475" t="str">
        <f t="shared" si="23"/>
        <v>3871M</v>
      </c>
      <c r="H1475">
        <v>5.460407</v>
      </c>
      <c r="I1475">
        <v>52.169091899999998</v>
      </c>
      <c r="J1475" t="s">
        <v>526</v>
      </c>
      <c r="K1475" t="s">
        <v>371</v>
      </c>
      <c r="L1475" t="s">
        <v>203</v>
      </c>
      <c r="M1475" t="s">
        <v>6</v>
      </c>
    </row>
    <row r="1476" spans="1:13" x14ac:dyDescent="0.25">
      <c r="A1476" s="3" t="s">
        <v>202</v>
      </c>
      <c r="B1476" s="4">
        <v>18</v>
      </c>
      <c r="C1476" s="4"/>
      <c r="D1476" s="4" t="s">
        <v>203</v>
      </c>
      <c r="E1476" s="4" t="s">
        <v>6</v>
      </c>
      <c r="F1476">
        <f>COUNTIFS($D$2:D1476,D1476)</f>
        <v>5</v>
      </c>
      <c r="G1476" t="str">
        <f t="shared" si="23"/>
        <v>3871M</v>
      </c>
      <c r="H1476">
        <v>5.4604068999999997</v>
      </c>
      <c r="I1476">
        <v>52.169048699999998</v>
      </c>
      <c r="J1476" t="s">
        <v>526</v>
      </c>
      <c r="K1476" t="s">
        <v>267</v>
      </c>
      <c r="L1476" t="s">
        <v>203</v>
      </c>
      <c r="M1476" t="s">
        <v>6</v>
      </c>
    </row>
    <row r="1477" spans="1:13" x14ac:dyDescent="0.25">
      <c r="A1477" s="3" t="s">
        <v>202</v>
      </c>
      <c r="B1477" s="4">
        <v>20</v>
      </c>
      <c r="C1477" s="4"/>
      <c r="D1477" s="4" t="s">
        <v>203</v>
      </c>
      <c r="E1477" s="4" t="s">
        <v>6</v>
      </c>
      <c r="F1477">
        <f>COUNTIFS($D$2:D1477,D1477)</f>
        <v>6</v>
      </c>
      <c r="G1477" t="str">
        <f t="shared" si="23"/>
        <v>3871M</v>
      </c>
      <c r="H1477">
        <v>5.4604068999999997</v>
      </c>
      <c r="I1477">
        <v>52.169005599999998</v>
      </c>
      <c r="J1477" t="s">
        <v>526</v>
      </c>
      <c r="K1477" t="s">
        <v>372</v>
      </c>
      <c r="L1477" t="s">
        <v>203</v>
      </c>
      <c r="M1477" t="s">
        <v>6</v>
      </c>
    </row>
    <row r="1478" spans="1:13" x14ac:dyDescent="0.25">
      <c r="A1478" s="3" t="s">
        <v>202</v>
      </c>
      <c r="B1478" s="4">
        <v>22</v>
      </c>
      <c r="C1478" s="4"/>
      <c r="D1478" s="4" t="s">
        <v>203</v>
      </c>
      <c r="E1478" s="4" t="s">
        <v>6</v>
      </c>
      <c r="F1478">
        <f>COUNTIFS($D$2:D1478,D1478)</f>
        <v>7</v>
      </c>
      <c r="G1478" t="str">
        <f t="shared" si="23"/>
        <v>3871M</v>
      </c>
      <c r="H1478">
        <v>5.4604122999999998</v>
      </c>
      <c r="I1478">
        <v>52.168953100000003</v>
      </c>
      <c r="J1478" t="s">
        <v>526</v>
      </c>
      <c r="K1478" t="s">
        <v>269</v>
      </c>
      <c r="L1478" t="s">
        <v>203</v>
      </c>
      <c r="M1478" t="s">
        <v>6</v>
      </c>
    </row>
    <row r="1479" spans="1:13" x14ac:dyDescent="0.25">
      <c r="A1479" s="3" t="s">
        <v>202</v>
      </c>
      <c r="B1479" s="4">
        <v>37</v>
      </c>
      <c r="C1479" s="4"/>
      <c r="D1479" s="4" t="s">
        <v>203</v>
      </c>
      <c r="E1479" s="4" t="s">
        <v>6</v>
      </c>
      <c r="F1479">
        <f>COUNTIFS($D$2:D1479,D1479)</f>
        <v>8</v>
      </c>
      <c r="G1479" t="str">
        <f t="shared" si="23"/>
        <v>3871M</v>
      </c>
      <c r="H1479">
        <v>5.4599073999999996</v>
      </c>
      <c r="I1479">
        <v>52.169235800000003</v>
      </c>
      <c r="J1479" t="s">
        <v>526</v>
      </c>
      <c r="K1479" t="s">
        <v>367</v>
      </c>
      <c r="L1479" t="s">
        <v>203</v>
      </c>
      <c r="M1479" t="s">
        <v>6</v>
      </c>
    </row>
    <row r="1480" spans="1:13" x14ac:dyDescent="0.25">
      <c r="A1480" s="3" t="s">
        <v>202</v>
      </c>
      <c r="B1480" s="4">
        <v>39</v>
      </c>
      <c r="C1480" s="4"/>
      <c r="D1480" s="4" t="s">
        <v>203</v>
      </c>
      <c r="E1480" s="4" t="s">
        <v>6</v>
      </c>
      <c r="F1480">
        <f>COUNTIFS($D$2:D1480,D1480)</f>
        <v>9</v>
      </c>
      <c r="G1480" t="str">
        <f t="shared" si="23"/>
        <v>3871M</v>
      </c>
      <c r="H1480">
        <v>5.4599069</v>
      </c>
      <c r="I1480">
        <v>52.169186600000003</v>
      </c>
      <c r="J1480" t="s">
        <v>526</v>
      </c>
      <c r="K1480" t="s">
        <v>368</v>
      </c>
      <c r="L1480" t="s">
        <v>203</v>
      </c>
      <c r="M1480" t="s">
        <v>6</v>
      </c>
    </row>
    <row r="1481" spans="1:13" x14ac:dyDescent="0.25">
      <c r="A1481" s="3" t="s">
        <v>202</v>
      </c>
      <c r="B1481" s="4">
        <v>41</v>
      </c>
      <c r="C1481" s="4"/>
      <c r="D1481" s="4" t="s">
        <v>203</v>
      </c>
      <c r="E1481" s="4" t="s">
        <v>6</v>
      </c>
      <c r="F1481">
        <f>COUNTIFS($D$2:D1481,D1481)</f>
        <v>10</v>
      </c>
      <c r="G1481" t="str">
        <f t="shared" si="23"/>
        <v>3871M</v>
      </c>
      <c r="H1481">
        <v>5.4599066000000001</v>
      </c>
      <c r="I1481">
        <v>52.169137999999997</v>
      </c>
      <c r="J1481" t="s">
        <v>526</v>
      </c>
      <c r="K1481" t="s">
        <v>325</v>
      </c>
      <c r="L1481" t="s">
        <v>203</v>
      </c>
      <c r="M1481" t="s">
        <v>6</v>
      </c>
    </row>
    <row r="1482" spans="1:13" x14ac:dyDescent="0.25">
      <c r="A1482" s="3" t="s">
        <v>202</v>
      </c>
      <c r="B1482" s="4">
        <v>43</v>
      </c>
      <c r="C1482" s="4"/>
      <c r="D1482" s="4" t="s">
        <v>203</v>
      </c>
      <c r="E1482" s="4" t="s">
        <v>6</v>
      </c>
      <c r="F1482">
        <f>COUNTIFS($D$2:D1482,D1482)</f>
        <v>11</v>
      </c>
      <c r="G1482" t="str">
        <f t="shared" si="23"/>
        <v>3871M</v>
      </c>
      <c r="H1482">
        <v>5.4599064000000004</v>
      </c>
      <c r="I1482">
        <v>52.169089499999998</v>
      </c>
      <c r="J1482" t="s">
        <v>526</v>
      </c>
      <c r="K1482" t="s">
        <v>326</v>
      </c>
      <c r="L1482" t="s">
        <v>203</v>
      </c>
      <c r="M1482" t="s">
        <v>6</v>
      </c>
    </row>
    <row r="1483" spans="1:13" x14ac:dyDescent="0.25">
      <c r="A1483" s="3" t="s">
        <v>202</v>
      </c>
      <c r="B1483" s="4">
        <v>45</v>
      </c>
      <c r="C1483" s="4"/>
      <c r="D1483" s="4" t="s">
        <v>203</v>
      </c>
      <c r="E1483" s="4" t="s">
        <v>6</v>
      </c>
      <c r="F1483">
        <f>COUNTIFS($D$2:D1483,D1483)</f>
        <v>12</v>
      </c>
      <c r="G1483" t="str">
        <f t="shared" si="23"/>
        <v>3871M</v>
      </c>
      <c r="H1483">
        <v>5.4598963999999999</v>
      </c>
      <c r="I1483">
        <v>52.169043899999998</v>
      </c>
      <c r="J1483" t="s">
        <v>526</v>
      </c>
      <c r="K1483" t="s">
        <v>327</v>
      </c>
      <c r="L1483" t="s">
        <v>203</v>
      </c>
      <c r="M1483" t="s">
        <v>6</v>
      </c>
    </row>
    <row r="1484" spans="1:13" x14ac:dyDescent="0.25">
      <c r="A1484" s="3" t="s">
        <v>202</v>
      </c>
      <c r="B1484" s="4">
        <v>47</v>
      </c>
      <c r="C1484" s="4"/>
      <c r="D1484" s="4" t="s">
        <v>203</v>
      </c>
      <c r="E1484" s="4" t="s">
        <v>6</v>
      </c>
      <c r="F1484">
        <f>COUNTIFS($D$2:D1484,D1484)</f>
        <v>13</v>
      </c>
      <c r="G1484" t="str">
        <f t="shared" si="23"/>
        <v>3871M</v>
      </c>
      <c r="H1484">
        <v>5.4598905999999996</v>
      </c>
      <c r="I1484">
        <v>52.168993299999997</v>
      </c>
      <c r="J1484" t="s">
        <v>526</v>
      </c>
      <c r="K1484" t="s">
        <v>328</v>
      </c>
      <c r="L1484" t="s">
        <v>203</v>
      </c>
      <c r="M1484" t="s">
        <v>6</v>
      </c>
    </row>
    <row r="1485" spans="1:13" x14ac:dyDescent="0.25">
      <c r="A1485" s="3" t="s">
        <v>202</v>
      </c>
      <c r="B1485" s="4">
        <v>49</v>
      </c>
      <c r="C1485" s="4"/>
      <c r="D1485" s="4" t="s">
        <v>203</v>
      </c>
      <c r="E1485" s="4" t="s">
        <v>6</v>
      </c>
      <c r="F1485">
        <f>COUNTIFS($D$2:D1485,D1485)</f>
        <v>14</v>
      </c>
      <c r="G1485" t="str">
        <f t="shared" si="23"/>
        <v>3871M</v>
      </c>
      <c r="H1485">
        <v>5.4599057000000002</v>
      </c>
      <c r="I1485">
        <v>52.168942700000002</v>
      </c>
      <c r="J1485" t="s">
        <v>526</v>
      </c>
      <c r="K1485" t="s">
        <v>329</v>
      </c>
      <c r="L1485" t="s">
        <v>203</v>
      </c>
      <c r="M1485" t="s">
        <v>6</v>
      </c>
    </row>
    <row r="1486" spans="1:13" x14ac:dyDescent="0.25">
      <c r="A1486" s="3" t="s">
        <v>204</v>
      </c>
      <c r="B1486" s="4">
        <v>1</v>
      </c>
      <c r="C1486" s="4"/>
      <c r="D1486" s="4" t="s">
        <v>205</v>
      </c>
      <c r="E1486" s="4" t="s">
        <v>6</v>
      </c>
      <c r="F1486">
        <f>COUNTIFS($D$2:D1486,D1486)</f>
        <v>1</v>
      </c>
      <c r="G1486" t="str">
        <f t="shared" si="23"/>
        <v>3871T</v>
      </c>
      <c r="H1486">
        <v>5.4562144999999997</v>
      </c>
      <c r="I1486">
        <v>52.171276300000002</v>
      </c>
      <c r="J1486" t="s">
        <v>527</v>
      </c>
      <c r="K1486" t="s">
        <v>355</v>
      </c>
      <c r="L1486" t="s">
        <v>205</v>
      </c>
      <c r="M1486" t="s">
        <v>6</v>
      </c>
    </row>
    <row r="1487" spans="1:13" x14ac:dyDescent="0.25">
      <c r="A1487" s="3" t="s">
        <v>204</v>
      </c>
      <c r="B1487" s="4">
        <v>2</v>
      </c>
      <c r="C1487" s="4"/>
      <c r="D1487" s="4" t="s">
        <v>205</v>
      </c>
      <c r="E1487" s="4" t="s">
        <v>6</v>
      </c>
      <c r="F1487">
        <f>COUNTIFS($D$2:D1487,D1487)</f>
        <v>2</v>
      </c>
      <c r="G1487" t="str">
        <f t="shared" si="23"/>
        <v>3871T</v>
      </c>
      <c r="H1487">
        <v>5.4570629999999998</v>
      </c>
      <c r="I1487">
        <v>52.171689299999997</v>
      </c>
      <c r="J1487" t="s">
        <v>527</v>
      </c>
      <c r="K1487" t="s">
        <v>370</v>
      </c>
      <c r="L1487" t="s">
        <v>205</v>
      </c>
      <c r="M1487" t="s">
        <v>6</v>
      </c>
    </row>
    <row r="1488" spans="1:13" x14ac:dyDescent="0.25">
      <c r="A1488" s="3" t="s">
        <v>204</v>
      </c>
      <c r="B1488" s="4">
        <v>3</v>
      </c>
      <c r="C1488" s="4"/>
      <c r="D1488" s="4" t="s">
        <v>205</v>
      </c>
      <c r="E1488" s="4" t="s">
        <v>6</v>
      </c>
      <c r="F1488">
        <f>COUNTIFS($D$2:D1488,D1488)</f>
        <v>3</v>
      </c>
      <c r="G1488" t="str">
        <f t="shared" si="23"/>
        <v>3871T</v>
      </c>
      <c r="H1488">
        <v>5.4560390999999999</v>
      </c>
      <c r="I1488">
        <v>52.171276400000004</v>
      </c>
      <c r="J1488" t="s">
        <v>527</v>
      </c>
      <c r="K1488" t="s">
        <v>356</v>
      </c>
      <c r="L1488" t="s">
        <v>205</v>
      </c>
      <c r="M1488" t="s">
        <v>6</v>
      </c>
    </row>
    <row r="1489" spans="1:13" x14ac:dyDescent="0.25">
      <c r="A1489" s="3" t="s">
        <v>204</v>
      </c>
      <c r="B1489" s="4">
        <v>4</v>
      </c>
      <c r="C1489" s="4"/>
      <c r="D1489" s="4" t="s">
        <v>205</v>
      </c>
      <c r="E1489" s="4" t="s">
        <v>6</v>
      </c>
      <c r="F1489">
        <f>COUNTIFS($D$2:D1489,D1489)</f>
        <v>4</v>
      </c>
      <c r="G1489" t="str">
        <f t="shared" si="23"/>
        <v>3871T</v>
      </c>
      <c r="H1489">
        <v>5.4569751999999996</v>
      </c>
      <c r="I1489">
        <v>52.171689299999997</v>
      </c>
      <c r="J1489" t="s">
        <v>527</v>
      </c>
      <c r="K1489" t="s">
        <v>260</v>
      </c>
      <c r="L1489" t="s">
        <v>205</v>
      </c>
      <c r="M1489" t="s">
        <v>6</v>
      </c>
    </row>
    <row r="1490" spans="1:13" x14ac:dyDescent="0.25">
      <c r="A1490" s="3" t="s">
        <v>204</v>
      </c>
      <c r="B1490" s="4">
        <v>5</v>
      </c>
      <c r="C1490" s="4"/>
      <c r="D1490" s="4" t="s">
        <v>205</v>
      </c>
      <c r="E1490" s="4" t="s">
        <v>6</v>
      </c>
      <c r="F1490">
        <f>COUNTIFS($D$2:D1490,D1490)</f>
        <v>5</v>
      </c>
      <c r="G1490" t="str">
        <f t="shared" si="23"/>
        <v>3871T</v>
      </c>
      <c r="H1490">
        <v>5.4558781999999999</v>
      </c>
      <c r="I1490">
        <v>52.171267499999999</v>
      </c>
      <c r="J1490" t="s">
        <v>527</v>
      </c>
      <c r="K1490" t="s">
        <v>357</v>
      </c>
      <c r="L1490" t="s">
        <v>205</v>
      </c>
      <c r="M1490" t="s">
        <v>6</v>
      </c>
    </row>
    <row r="1491" spans="1:13" x14ac:dyDescent="0.25">
      <c r="A1491" s="3" t="s">
        <v>204</v>
      </c>
      <c r="B1491" s="4">
        <v>6</v>
      </c>
      <c r="C1491" s="4"/>
      <c r="D1491" s="4" t="s">
        <v>205</v>
      </c>
      <c r="E1491" s="4" t="s">
        <v>6</v>
      </c>
      <c r="F1491">
        <f>COUNTIFS($D$2:D1491,D1491)</f>
        <v>6</v>
      </c>
      <c r="G1491" t="str">
        <f t="shared" si="23"/>
        <v>3871T</v>
      </c>
      <c r="H1491">
        <v>5.4568145000000001</v>
      </c>
      <c r="I1491">
        <v>52.171689399999998</v>
      </c>
      <c r="J1491" t="s">
        <v>527</v>
      </c>
      <c r="K1491" t="s">
        <v>262</v>
      </c>
      <c r="L1491" t="s">
        <v>205</v>
      </c>
      <c r="M1491" t="s">
        <v>6</v>
      </c>
    </row>
    <row r="1492" spans="1:13" x14ac:dyDescent="0.25">
      <c r="A1492" s="3" t="s">
        <v>204</v>
      </c>
      <c r="B1492" s="4">
        <v>7</v>
      </c>
      <c r="C1492" s="4"/>
      <c r="D1492" s="4" t="s">
        <v>205</v>
      </c>
      <c r="E1492" s="4" t="s">
        <v>6</v>
      </c>
      <c r="F1492">
        <f>COUNTIFS($D$2:D1492,D1492)</f>
        <v>7</v>
      </c>
      <c r="G1492" t="str">
        <f t="shared" si="23"/>
        <v>3871T</v>
      </c>
      <c r="H1492">
        <v>5.4557175000000004</v>
      </c>
      <c r="I1492">
        <v>52.1712676</v>
      </c>
      <c r="J1492" t="s">
        <v>527</v>
      </c>
      <c r="K1492" t="s">
        <v>358</v>
      </c>
      <c r="L1492" t="s">
        <v>205</v>
      </c>
      <c r="M1492" t="s">
        <v>6</v>
      </c>
    </row>
    <row r="1493" spans="1:13" x14ac:dyDescent="0.25">
      <c r="A1493" s="3" t="s">
        <v>204</v>
      </c>
      <c r="B1493" s="4">
        <v>8</v>
      </c>
      <c r="C1493" s="4"/>
      <c r="D1493" s="4" t="s">
        <v>205</v>
      </c>
      <c r="E1493" s="4" t="s">
        <v>6</v>
      </c>
      <c r="F1493">
        <f>COUNTIFS($D$2:D1493,D1493)</f>
        <v>8</v>
      </c>
      <c r="G1493" t="str">
        <f t="shared" si="23"/>
        <v>3871T</v>
      </c>
      <c r="H1493">
        <v>5.4567120999999998</v>
      </c>
      <c r="I1493">
        <v>52.171680500000001</v>
      </c>
      <c r="J1493" t="s">
        <v>527</v>
      </c>
      <c r="K1493" t="s">
        <v>263</v>
      </c>
      <c r="L1493" t="s">
        <v>205</v>
      </c>
      <c r="M1493" t="s">
        <v>6</v>
      </c>
    </row>
    <row r="1494" spans="1:13" x14ac:dyDescent="0.25">
      <c r="A1494" s="3" t="s">
        <v>204</v>
      </c>
      <c r="B1494" s="4">
        <v>9</v>
      </c>
      <c r="C1494" s="4"/>
      <c r="D1494" s="4" t="s">
        <v>205</v>
      </c>
      <c r="E1494" s="4" t="s">
        <v>6</v>
      </c>
      <c r="F1494">
        <f>COUNTIFS($D$2:D1494,D1494)</f>
        <v>9</v>
      </c>
      <c r="G1494" t="str">
        <f t="shared" si="23"/>
        <v>3871T</v>
      </c>
      <c r="H1494">
        <v>5.4555420000000003</v>
      </c>
      <c r="I1494">
        <v>52.171249799999998</v>
      </c>
      <c r="J1494" t="s">
        <v>527</v>
      </c>
      <c r="K1494" t="s">
        <v>382</v>
      </c>
      <c r="L1494" t="s">
        <v>205</v>
      </c>
      <c r="M1494" t="s">
        <v>6</v>
      </c>
    </row>
    <row r="1495" spans="1:13" x14ac:dyDescent="0.25">
      <c r="A1495" s="3" t="s">
        <v>204</v>
      </c>
      <c r="B1495" s="4">
        <v>10</v>
      </c>
      <c r="C1495" s="4"/>
      <c r="D1495" s="4" t="s">
        <v>205</v>
      </c>
      <c r="E1495" s="4" t="s">
        <v>6</v>
      </c>
      <c r="F1495">
        <f>COUNTIFS($D$2:D1495,D1495)</f>
        <v>10</v>
      </c>
      <c r="G1495" t="str">
        <f t="shared" si="23"/>
        <v>3871T</v>
      </c>
      <c r="H1495">
        <v>5.4559958000000002</v>
      </c>
      <c r="I1495">
        <v>52.171644999999998</v>
      </c>
      <c r="J1495" t="s">
        <v>527</v>
      </c>
      <c r="K1495" t="s">
        <v>264</v>
      </c>
      <c r="L1495" t="s">
        <v>205</v>
      </c>
      <c r="M1495" t="s">
        <v>6</v>
      </c>
    </row>
    <row r="1496" spans="1:13" x14ac:dyDescent="0.25">
      <c r="A1496" s="3" t="s">
        <v>204</v>
      </c>
      <c r="B1496" s="4">
        <v>12</v>
      </c>
      <c r="C1496" s="4"/>
      <c r="D1496" s="4" t="s">
        <v>205</v>
      </c>
      <c r="E1496" s="4" t="s">
        <v>6</v>
      </c>
      <c r="F1496">
        <f>COUNTIFS($D$2:D1496,D1496)</f>
        <v>11</v>
      </c>
      <c r="G1496" t="str">
        <f t="shared" si="23"/>
        <v>3871T</v>
      </c>
      <c r="H1496">
        <v>5.4559081000000003</v>
      </c>
      <c r="I1496">
        <v>52.171644999999998</v>
      </c>
      <c r="J1496" t="s">
        <v>527</v>
      </c>
      <c r="K1496" t="s">
        <v>265</v>
      </c>
      <c r="L1496" t="s">
        <v>205</v>
      </c>
      <c r="M1496" t="s">
        <v>6</v>
      </c>
    </row>
    <row r="1497" spans="1:13" x14ac:dyDescent="0.25">
      <c r="A1497" s="3" t="s">
        <v>204</v>
      </c>
      <c r="B1497" s="4">
        <v>14</v>
      </c>
      <c r="C1497" s="4"/>
      <c r="D1497" s="4" t="s">
        <v>205</v>
      </c>
      <c r="E1497" s="4" t="s">
        <v>6</v>
      </c>
      <c r="F1497">
        <f>COUNTIFS($D$2:D1497,D1497)</f>
        <v>12</v>
      </c>
      <c r="G1497" t="str">
        <f t="shared" si="23"/>
        <v>3871T</v>
      </c>
      <c r="H1497">
        <v>5.4558204000000003</v>
      </c>
      <c r="I1497">
        <v>52.171645099999999</v>
      </c>
      <c r="J1497" t="s">
        <v>527</v>
      </c>
      <c r="K1497" t="s">
        <v>266</v>
      </c>
      <c r="L1497" t="s">
        <v>205</v>
      </c>
      <c r="M1497" t="s">
        <v>6</v>
      </c>
    </row>
    <row r="1498" spans="1:13" x14ac:dyDescent="0.25">
      <c r="A1498" s="3" t="s">
        <v>204</v>
      </c>
      <c r="B1498" s="4">
        <v>16</v>
      </c>
      <c r="C1498" s="4"/>
      <c r="D1498" s="4" t="s">
        <v>205</v>
      </c>
      <c r="E1498" s="4" t="s">
        <v>6</v>
      </c>
      <c r="F1498">
        <f>COUNTIFS($D$2:D1498,D1498)</f>
        <v>13</v>
      </c>
      <c r="G1498" t="str">
        <f t="shared" si="23"/>
        <v>3871T</v>
      </c>
      <c r="H1498">
        <v>5.4557180000000001</v>
      </c>
      <c r="I1498">
        <v>52.171636100000001</v>
      </c>
      <c r="J1498" t="s">
        <v>527</v>
      </c>
      <c r="K1498" t="s">
        <v>371</v>
      </c>
      <c r="L1498" t="s">
        <v>205</v>
      </c>
      <c r="M1498" t="s">
        <v>6</v>
      </c>
    </row>
    <row r="1499" spans="1:13" x14ac:dyDescent="0.25">
      <c r="A1499" s="3" t="s">
        <v>204</v>
      </c>
      <c r="B1499" s="4">
        <v>18</v>
      </c>
      <c r="C1499" s="4"/>
      <c r="D1499" s="4" t="s">
        <v>205</v>
      </c>
      <c r="E1499" s="4" t="s">
        <v>6</v>
      </c>
      <c r="F1499">
        <f>COUNTIFS($D$2:D1499,D1499)</f>
        <v>14</v>
      </c>
      <c r="G1499" t="str">
        <f t="shared" si="23"/>
        <v>3871T</v>
      </c>
      <c r="H1499">
        <v>5.4550456000000001</v>
      </c>
      <c r="I1499">
        <v>52.171609599999996</v>
      </c>
      <c r="J1499" t="s">
        <v>527</v>
      </c>
      <c r="K1499" t="s">
        <v>267</v>
      </c>
      <c r="L1499" t="s">
        <v>205</v>
      </c>
      <c r="M1499" t="s">
        <v>6</v>
      </c>
    </row>
    <row r="1500" spans="1:13" x14ac:dyDescent="0.25">
      <c r="A1500" s="3" t="s">
        <v>204</v>
      </c>
      <c r="B1500" s="4">
        <v>20</v>
      </c>
      <c r="C1500" s="4"/>
      <c r="D1500" s="4" t="s">
        <v>205</v>
      </c>
      <c r="E1500" s="4" t="s">
        <v>6</v>
      </c>
      <c r="F1500">
        <f>COUNTIFS($D$2:D1500,D1500)</f>
        <v>15</v>
      </c>
      <c r="G1500" t="str">
        <f t="shared" si="23"/>
        <v>3871T</v>
      </c>
      <c r="H1500">
        <v>5.4549431999999998</v>
      </c>
      <c r="I1500">
        <v>52.171609599999996</v>
      </c>
      <c r="J1500" t="s">
        <v>527</v>
      </c>
      <c r="K1500" t="s">
        <v>372</v>
      </c>
      <c r="L1500" t="s">
        <v>205</v>
      </c>
      <c r="M1500" t="s">
        <v>6</v>
      </c>
    </row>
    <row r="1501" spans="1:13" x14ac:dyDescent="0.25">
      <c r="A1501" s="3" t="s">
        <v>204</v>
      </c>
      <c r="B1501" s="4">
        <v>22</v>
      </c>
      <c r="C1501" s="4"/>
      <c r="D1501" s="4" t="s">
        <v>205</v>
      </c>
      <c r="E1501" s="4" t="s">
        <v>6</v>
      </c>
      <c r="F1501">
        <f>COUNTIFS($D$2:D1501,D1501)</f>
        <v>16</v>
      </c>
      <c r="G1501" t="str">
        <f t="shared" si="23"/>
        <v>3871T</v>
      </c>
      <c r="H1501">
        <v>5.4547677999999999</v>
      </c>
      <c r="I1501">
        <v>52.171600699999999</v>
      </c>
      <c r="J1501" t="s">
        <v>527</v>
      </c>
      <c r="K1501" t="s">
        <v>269</v>
      </c>
      <c r="L1501" t="s">
        <v>205</v>
      </c>
      <c r="M1501" t="s">
        <v>6</v>
      </c>
    </row>
    <row r="1502" spans="1:13" x14ac:dyDescent="0.25">
      <c r="A1502" s="3" t="s">
        <v>204</v>
      </c>
      <c r="B1502" s="4">
        <v>24</v>
      </c>
      <c r="C1502" s="4"/>
      <c r="D1502" s="4" t="s">
        <v>205</v>
      </c>
      <c r="E1502" s="4" t="s">
        <v>6</v>
      </c>
      <c r="F1502">
        <f>COUNTIFS($D$2:D1502,D1502)</f>
        <v>17</v>
      </c>
      <c r="G1502" t="str">
        <f t="shared" si="23"/>
        <v>3871T</v>
      </c>
      <c r="H1502">
        <v>5.4546507999999996</v>
      </c>
      <c r="I1502">
        <v>52.171591800000002</v>
      </c>
      <c r="J1502" t="s">
        <v>527</v>
      </c>
      <c r="K1502" t="s">
        <v>270</v>
      </c>
      <c r="L1502" t="s">
        <v>205</v>
      </c>
      <c r="M1502" t="s">
        <v>6</v>
      </c>
    </row>
    <row r="1503" spans="1:13" x14ac:dyDescent="0.25">
      <c r="A1503" s="3" t="s">
        <v>206</v>
      </c>
      <c r="B1503" s="4">
        <v>1</v>
      </c>
      <c r="C1503" s="4"/>
      <c r="D1503" s="4" t="s">
        <v>207</v>
      </c>
      <c r="E1503" s="4" t="s">
        <v>6</v>
      </c>
      <c r="F1503">
        <f>COUNTIFS($D$2:D1503,D1503)</f>
        <v>1</v>
      </c>
      <c r="G1503" t="str">
        <f t="shared" si="23"/>
        <v>3871T</v>
      </c>
      <c r="H1503">
        <v>5.4563442000000002</v>
      </c>
      <c r="I1503">
        <v>52.171655299999998</v>
      </c>
      <c r="J1503" t="s">
        <v>528</v>
      </c>
      <c r="K1503" t="s">
        <v>355</v>
      </c>
      <c r="L1503" t="s">
        <v>207</v>
      </c>
      <c r="M1503" t="s">
        <v>6</v>
      </c>
    </row>
    <row r="1504" spans="1:13" x14ac:dyDescent="0.25">
      <c r="A1504" s="3" t="s">
        <v>206</v>
      </c>
      <c r="B1504" s="4">
        <v>5</v>
      </c>
      <c r="C1504" s="4"/>
      <c r="D1504" s="4" t="s">
        <v>207</v>
      </c>
      <c r="E1504" s="4" t="s">
        <v>6</v>
      </c>
      <c r="F1504">
        <f>COUNTIFS($D$2:D1504,D1504)</f>
        <v>2</v>
      </c>
      <c r="G1504" t="str">
        <f t="shared" si="23"/>
        <v>3871T</v>
      </c>
      <c r="H1504">
        <v>5.4563132999999997</v>
      </c>
      <c r="I1504">
        <v>52.171776999999999</v>
      </c>
      <c r="J1504" t="s">
        <v>528</v>
      </c>
      <c r="K1504" t="s">
        <v>357</v>
      </c>
      <c r="L1504" t="s">
        <v>207</v>
      </c>
      <c r="M1504" t="s">
        <v>6</v>
      </c>
    </row>
    <row r="1505" spans="1:13" x14ac:dyDescent="0.25">
      <c r="A1505" s="3" t="s">
        <v>206</v>
      </c>
      <c r="B1505" s="4">
        <v>7</v>
      </c>
      <c r="C1505" s="4"/>
      <c r="D1505" s="4" t="s">
        <v>207</v>
      </c>
      <c r="E1505" s="4" t="s">
        <v>6</v>
      </c>
      <c r="F1505">
        <f>COUNTIFS($D$2:D1505,D1505)</f>
        <v>3</v>
      </c>
      <c r="G1505" t="str">
        <f t="shared" si="23"/>
        <v>3871T</v>
      </c>
      <c r="H1505">
        <v>5.4563264</v>
      </c>
      <c r="I1505">
        <v>52.171822599999999</v>
      </c>
      <c r="J1505" t="s">
        <v>528</v>
      </c>
      <c r="K1505" t="s">
        <v>358</v>
      </c>
      <c r="L1505" t="s">
        <v>207</v>
      </c>
      <c r="M1505" t="s">
        <v>6</v>
      </c>
    </row>
    <row r="1506" spans="1:13" x14ac:dyDescent="0.25">
      <c r="A1506" s="3" t="s">
        <v>206</v>
      </c>
      <c r="B1506" s="4">
        <v>9</v>
      </c>
      <c r="C1506" s="4"/>
      <c r="D1506" s="4" t="s">
        <v>207</v>
      </c>
      <c r="E1506" s="4" t="s">
        <v>6</v>
      </c>
      <c r="F1506">
        <f>COUNTIFS($D$2:D1506,D1506)</f>
        <v>4</v>
      </c>
      <c r="G1506" t="str">
        <f t="shared" si="23"/>
        <v>3871T</v>
      </c>
      <c r="H1506">
        <v>5.4553782999999996</v>
      </c>
      <c r="I1506">
        <v>52.171791800000001</v>
      </c>
      <c r="J1506" t="s">
        <v>528</v>
      </c>
      <c r="K1506" t="s">
        <v>382</v>
      </c>
      <c r="L1506" t="s">
        <v>207</v>
      </c>
      <c r="M1506" t="s">
        <v>6</v>
      </c>
    </row>
    <row r="1507" spans="1:13" x14ac:dyDescent="0.25">
      <c r="A1507" s="3" t="s">
        <v>206</v>
      </c>
      <c r="B1507" s="4">
        <v>11</v>
      </c>
      <c r="C1507" s="4"/>
      <c r="D1507" s="4" t="s">
        <v>207</v>
      </c>
      <c r="E1507" s="4" t="s">
        <v>6</v>
      </c>
      <c r="F1507">
        <f>COUNTIFS($D$2:D1507,D1507)</f>
        <v>5</v>
      </c>
      <c r="G1507" t="str">
        <f t="shared" si="23"/>
        <v>3871T</v>
      </c>
      <c r="H1507">
        <v>5.4553729999999998</v>
      </c>
      <c r="I1507">
        <v>52.171740300000003</v>
      </c>
      <c r="J1507" t="s">
        <v>528</v>
      </c>
      <c r="K1507" t="s">
        <v>391</v>
      </c>
      <c r="L1507" t="s">
        <v>207</v>
      </c>
      <c r="M1507" t="s">
        <v>6</v>
      </c>
    </row>
    <row r="1508" spans="1:13" x14ac:dyDescent="0.25">
      <c r="A1508" s="3" t="s">
        <v>206</v>
      </c>
      <c r="B1508" s="4">
        <v>13</v>
      </c>
      <c r="C1508" s="4"/>
      <c r="D1508" s="4" t="s">
        <v>207</v>
      </c>
      <c r="E1508" s="4" t="s">
        <v>6</v>
      </c>
      <c r="F1508">
        <f>COUNTIFS($D$2:D1508,D1508)</f>
        <v>6</v>
      </c>
      <c r="G1508" t="str">
        <f t="shared" si="23"/>
        <v>3871T</v>
      </c>
      <c r="H1508">
        <v>5.4553975000000001</v>
      </c>
      <c r="I1508">
        <v>52.171674600000003</v>
      </c>
      <c r="J1508" t="s">
        <v>528</v>
      </c>
      <c r="K1508" t="s">
        <v>359</v>
      </c>
      <c r="L1508" t="s">
        <v>207</v>
      </c>
      <c r="M1508" t="s">
        <v>6</v>
      </c>
    </row>
    <row r="1509" spans="1:13" x14ac:dyDescent="0.25">
      <c r="A1509" s="3" t="s">
        <v>206</v>
      </c>
      <c r="B1509" s="4">
        <v>15</v>
      </c>
      <c r="C1509" s="4"/>
      <c r="D1509" s="4" t="s">
        <v>207</v>
      </c>
      <c r="E1509" s="4" t="s">
        <v>6</v>
      </c>
      <c r="F1509">
        <f>COUNTIFS($D$2:D1509,D1509)</f>
        <v>7</v>
      </c>
      <c r="G1509" t="str">
        <f t="shared" si="23"/>
        <v>3871T</v>
      </c>
      <c r="H1509">
        <v>5.4554004999999997</v>
      </c>
      <c r="I1509">
        <v>52.171607899999998</v>
      </c>
      <c r="J1509" t="s">
        <v>528</v>
      </c>
      <c r="K1509" t="s">
        <v>383</v>
      </c>
      <c r="L1509" t="s">
        <v>207</v>
      </c>
      <c r="M1509" t="s">
        <v>6</v>
      </c>
    </row>
    <row r="1510" spans="1:13" x14ac:dyDescent="0.25">
      <c r="A1510" s="3" t="s">
        <v>208</v>
      </c>
      <c r="B1510" s="4">
        <v>2</v>
      </c>
      <c r="C1510" s="4"/>
      <c r="D1510" s="4" t="s">
        <v>207</v>
      </c>
      <c r="E1510" s="4" t="s">
        <v>6</v>
      </c>
      <c r="F1510">
        <f>COUNTIFS($D$2:D1510,D1510)</f>
        <v>8</v>
      </c>
      <c r="G1510" t="str">
        <f t="shared" si="23"/>
        <v>3871T</v>
      </c>
      <c r="H1510">
        <v>5.4569026000000003</v>
      </c>
      <c r="I1510">
        <v>52.171940999999997</v>
      </c>
      <c r="J1510" t="s">
        <v>529</v>
      </c>
      <c r="K1510" t="s">
        <v>370</v>
      </c>
      <c r="L1510" t="s">
        <v>207</v>
      </c>
      <c r="M1510" t="s">
        <v>6</v>
      </c>
    </row>
    <row r="1511" spans="1:13" x14ac:dyDescent="0.25">
      <c r="A1511" s="3" t="s">
        <v>208</v>
      </c>
      <c r="B1511" s="4">
        <v>4</v>
      </c>
      <c r="C1511" s="4"/>
      <c r="D1511" s="4" t="s">
        <v>207</v>
      </c>
      <c r="E1511" s="4" t="s">
        <v>6</v>
      </c>
      <c r="F1511">
        <f>COUNTIFS($D$2:D1511,D1511)</f>
        <v>9</v>
      </c>
      <c r="G1511" t="str">
        <f t="shared" si="23"/>
        <v>3871T</v>
      </c>
      <c r="H1511">
        <v>5.4569026000000003</v>
      </c>
      <c r="I1511">
        <v>52.171995000000003</v>
      </c>
      <c r="J1511" t="s">
        <v>529</v>
      </c>
      <c r="K1511" t="s">
        <v>260</v>
      </c>
      <c r="L1511" t="s">
        <v>207</v>
      </c>
      <c r="M1511" t="s">
        <v>6</v>
      </c>
    </row>
    <row r="1512" spans="1:13" x14ac:dyDescent="0.25">
      <c r="A1512" s="3" t="s">
        <v>208</v>
      </c>
      <c r="B1512" s="4">
        <v>6</v>
      </c>
      <c r="C1512" s="4"/>
      <c r="D1512" s="4" t="s">
        <v>207</v>
      </c>
      <c r="E1512" s="4" t="s">
        <v>6</v>
      </c>
      <c r="F1512">
        <f>COUNTIFS($D$2:D1512,D1512)</f>
        <v>10</v>
      </c>
      <c r="G1512" t="str">
        <f t="shared" si="23"/>
        <v>3871T</v>
      </c>
      <c r="H1512">
        <v>5.4568880999999996</v>
      </c>
      <c r="I1512">
        <v>52.1720489</v>
      </c>
      <c r="J1512" t="s">
        <v>529</v>
      </c>
      <c r="K1512" t="s">
        <v>262</v>
      </c>
      <c r="L1512" t="s">
        <v>207</v>
      </c>
      <c r="M1512" t="s">
        <v>6</v>
      </c>
    </row>
    <row r="1513" spans="1:13" x14ac:dyDescent="0.25">
      <c r="A1513" s="3" t="s">
        <v>208</v>
      </c>
      <c r="B1513" s="4">
        <v>8</v>
      </c>
      <c r="C1513" s="4"/>
      <c r="D1513" s="4" t="s">
        <v>207</v>
      </c>
      <c r="E1513" s="4" t="s">
        <v>6</v>
      </c>
      <c r="F1513">
        <f>COUNTIFS($D$2:D1513,D1513)</f>
        <v>11</v>
      </c>
      <c r="G1513" t="str">
        <f t="shared" si="23"/>
        <v>3871T</v>
      </c>
      <c r="H1513">
        <v>5.4568881999999999</v>
      </c>
      <c r="I1513">
        <v>52.172093799999999</v>
      </c>
      <c r="J1513" t="s">
        <v>529</v>
      </c>
      <c r="K1513" t="s">
        <v>263</v>
      </c>
      <c r="L1513" t="s">
        <v>207</v>
      </c>
      <c r="M1513" t="s">
        <v>6</v>
      </c>
    </row>
    <row r="1514" spans="1:13" x14ac:dyDescent="0.25">
      <c r="A1514" s="3" t="s">
        <v>208</v>
      </c>
      <c r="B1514" s="4">
        <v>10</v>
      </c>
      <c r="C1514" s="4"/>
      <c r="D1514" s="4" t="s">
        <v>207</v>
      </c>
      <c r="E1514" s="4" t="s">
        <v>6</v>
      </c>
      <c r="F1514">
        <f>COUNTIFS($D$2:D1514,D1514)</f>
        <v>12</v>
      </c>
      <c r="G1514" t="str">
        <f t="shared" si="23"/>
        <v>3871T</v>
      </c>
      <c r="H1514">
        <v>5.4565811000000002</v>
      </c>
      <c r="I1514">
        <v>52.172013100000001</v>
      </c>
      <c r="J1514" t="s">
        <v>529</v>
      </c>
      <c r="K1514" t="s">
        <v>264</v>
      </c>
      <c r="L1514" t="s">
        <v>207</v>
      </c>
      <c r="M1514" t="s">
        <v>6</v>
      </c>
    </row>
    <row r="1515" spans="1:13" x14ac:dyDescent="0.25">
      <c r="A1515" s="3" t="s">
        <v>208</v>
      </c>
      <c r="B1515" s="4">
        <v>12</v>
      </c>
      <c r="C1515" s="4"/>
      <c r="D1515" s="4" t="s">
        <v>207</v>
      </c>
      <c r="E1515" s="4" t="s">
        <v>6</v>
      </c>
      <c r="F1515">
        <f>COUNTIFS($D$2:D1515,D1515)</f>
        <v>13</v>
      </c>
      <c r="G1515" t="str">
        <f t="shared" si="23"/>
        <v>3871T</v>
      </c>
      <c r="H1515">
        <v>5.4564933</v>
      </c>
      <c r="I1515">
        <v>52.172004200000003</v>
      </c>
      <c r="J1515" t="s">
        <v>529</v>
      </c>
      <c r="K1515" t="s">
        <v>265</v>
      </c>
      <c r="L1515" t="s">
        <v>207</v>
      </c>
      <c r="M1515" t="s">
        <v>6</v>
      </c>
    </row>
    <row r="1516" spans="1:13" x14ac:dyDescent="0.25">
      <c r="A1516" s="3" t="s">
        <v>208</v>
      </c>
      <c r="B1516" s="4">
        <v>14</v>
      </c>
      <c r="C1516" s="4"/>
      <c r="D1516" s="4" t="s">
        <v>207</v>
      </c>
      <c r="E1516" s="4" t="s">
        <v>6</v>
      </c>
      <c r="F1516">
        <f>COUNTIFS($D$2:D1516,D1516)</f>
        <v>14</v>
      </c>
      <c r="G1516" t="str">
        <f t="shared" si="23"/>
        <v>3871T</v>
      </c>
      <c r="H1516">
        <v>5.456391</v>
      </c>
      <c r="I1516">
        <v>52.171995299999999</v>
      </c>
      <c r="J1516" t="s">
        <v>529</v>
      </c>
      <c r="K1516" t="s">
        <v>266</v>
      </c>
      <c r="L1516" t="s">
        <v>207</v>
      </c>
      <c r="M1516" t="s">
        <v>6</v>
      </c>
    </row>
    <row r="1517" spans="1:13" x14ac:dyDescent="0.25">
      <c r="A1517" s="3" t="s">
        <v>208</v>
      </c>
      <c r="B1517" s="4">
        <v>16</v>
      </c>
      <c r="C1517" s="4"/>
      <c r="D1517" s="4" t="s">
        <v>207</v>
      </c>
      <c r="E1517" s="4" t="s">
        <v>6</v>
      </c>
      <c r="F1517">
        <f>COUNTIFS($D$2:D1517,D1517)</f>
        <v>15</v>
      </c>
      <c r="G1517" t="str">
        <f t="shared" si="23"/>
        <v>3871T</v>
      </c>
      <c r="H1517">
        <v>5.4563033000000001</v>
      </c>
      <c r="I1517">
        <v>52.171995299999999</v>
      </c>
      <c r="J1517" t="s">
        <v>529</v>
      </c>
      <c r="K1517" t="s">
        <v>371</v>
      </c>
      <c r="L1517" t="s">
        <v>207</v>
      </c>
      <c r="M1517" t="s">
        <v>6</v>
      </c>
    </row>
    <row r="1518" spans="1:13" x14ac:dyDescent="0.25">
      <c r="A1518" s="3" t="s">
        <v>208</v>
      </c>
      <c r="B1518" s="4">
        <v>18</v>
      </c>
      <c r="C1518" s="4"/>
      <c r="D1518" s="4" t="s">
        <v>207</v>
      </c>
      <c r="E1518" s="4" t="s">
        <v>6</v>
      </c>
      <c r="F1518">
        <f>COUNTIFS($D$2:D1518,D1518)</f>
        <v>16</v>
      </c>
      <c r="G1518" t="str">
        <f t="shared" si="23"/>
        <v>3871T</v>
      </c>
      <c r="H1518">
        <v>5.4559673000000002</v>
      </c>
      <c r="I1518">
        <v>52.172148300000003</v>
      </c>
      <c r="J1518" t="s">
        <v>529</v>
      </c>
      <c r="K1518" t="s">
        <v>267</v>
      </c>
      <c r="L1518" t="s">
        <v>207</v>
      </c>
      <c r="M1518" t="s">
        <v>6</v>
      </c>
    </row>
    <row r="1519" spans="1:13" x14ac:dyDescent="0.25">
      <c r="A1519" s="3" t="s">
        <v>208</v>
      </c>
      <c r="B1519" s="4">
        <v>20</v>
      </c>
      <c r="C1519" s="4"/>
      <c r="D1519" s="4" t="s">
        <v>207</v>
      </c>
      <c r="E1519" s="4" t="s">
        <v>6</v>
      </c>
      <c r="F1519">
        <f>COUNTIFS($D$2:D1519,D1519)</f>
        <v>17</v>
      </c>
      <c r="G1519" t="str">
        <f t="shared" si="23"/>
        <v>3871T</v>
      </c>
      <c r="H1519">
        <v>5.4559671999999999</v>
      </c>
      <c r="I1519">
        <v>52.172094399999999</v>
      </c>
      <c r="J1519" t="s">
        <v>529</v>
      </c>
      <c r="K1519" t="s">
        <v>372</v>
      </c>
      <c r="L1519" t="s">
        <v>207</v>
      </c>
      <c r="M1519" t="s">
        <v>6</v>
      </c>
    </row>
    <row r="1520" spans="1:13" x14ac:dyDescent="0.25">
      <c r="A1520" s="3" t="s">
        <v>208</v>
      </c>
      <c r="B1520" s="4">
        <v>22</v>
      </c>
      <c r="C1520" s="4"/>
      <c r="D1520" s="4" t="s">
        <v>207</v>
      </c>
      <c r="E1520" s="4" t="s">
        <v>6</v>
      </c>
      <c r="F1520">
        <f>COUNTIFS($D$2:D1520,D1520)</f>
        <v>18</v>
      </c>
      <c r="G1520" t="str">
        <f t="shared" si="23"/>
        <v>3871T</v>
      </c>
      <c r="H1520">
        <v>5.4559818</v>
      </c>
      <c r="I1520">
        <v>52.172031500000003</v>
      </c>
      <c r="J1520" t="s">
        <v>529</v>
      </c>
      <c r="K1520" t="s">
        <v>269</v>
      </c>
      <c r="L1520" t="s">
        <v>207</v>
      </c>
      <c r="M1520" t="s">
        <v>6</v>
      </c>
    </row>
    <row r="1521" spans="1:13" x14ac:dyDescent="0.25">
      <c r="A1521" s="3" t="s">
        <v>208</v>
      </c>
      <c r="B1521" s="4">
        <v>24</v>
      </c>
      <c r="C1521" s="4"/>
      <c r="D1521" s="4" t="s">
        <v>207</v>
      </c>
      <c r="E1521" s="4" t="s">
        <v>6</v>
      </c>
      <c r="F1521">
        <f>COUNTIFS($D$2:D1521,D1521)</f>
        <v>19</v>
      </c>
      <c r="G1521" t="str">
        <f t="shared" si="23"/>
        <v>3871T</v>
      </c>
      <c r="H1521">
        <v>5.4559816999999997</v>
      </c>
      <c r="I1521">
        <v>52.171968499999998</v>
      </c>
      <c r="J1521" t="s">
        <v>529</v>
      </c>
      <c r="K1521" t="s">
        <v>270</v>
      </c>
      <c r="L1521" t="s">
        <v>207</v>
      </c>
      <c r="M1521" t="s">
        <v>6</v>
      </c>
    </row>
    <row r="1522" spans="1:13" x14ac:dyDescent="0.25">
      <c r="A1522" s="3" t="s">
        <v>208</v>
      </c>
      <c r="B1522" s="4">
        <v>26</v>
      </c>
      <c r="C1522" s="4"/>
      <c r="D1522" s="4" t="s">
        <v>207</v>
      </c>
      <c r="E1522" s="4" t="s">
        <v>6</v>
      </c>
      <c r="F1522">
        <f>COUNTIFS($D$2:D1522,D1522)</f>
        <v>20</v>
      </c>
      <c r="G1522" t="str">
        <f t="shared" si="23"/>
        <v>3871T</v>
      </c>
      <c r="H1522">
        <v>5.4555577</v>
      </c>
      <c r="I1522">
        <v>52.171959800000003</v>
      </c>
      <c r="J1522" t="s">
        <v>529</v>
      </c>
      <c r="K1522" t="s">
        <v>271</v>
      </c>
      <c r="L1522" t="s">
        <v>207</v>
      </c>
      <c r="M1522" t="s">
        <v>6</v>
      </c>
    </row>
    <row r="1523" spans="1:13" x14ac:dyDescent="0.25">
      <c r="A1523" s="3" t="s">
        <v>208</v>
      </c>
      <c r="B1523" s="4">
        <v>28</v>
      </c>
      <c r="C1523" s="4"/>
      <c r="D1523" s="4" t="s">
        <v>207</v>
      </c>
      <c r="E1523" s="4" t="s">
        <v>6</v>
      </c>
      <c r="F1523">
        <f>COUNTIFS($D$2:D1523,D1523)</f>
        <v>21</v>
      </c>
      <c r="G1523" t="str">
        <f t="shared" si="23"/>
        <v>3871T</v>
      </c>
      <c r="H1523">
        <v>5.4555578000000002</v>
      </c>
      <c r="I1523">
        <v>52.172013700000001</v>
      </c>
      <c r="J1523" t="s">
        <v>529</v>
      </c>
      <c r="K1523" t="s">
        <v>272</v>
      </c>
      <c r="L1523" t="s">
        <v>207</v>
      </c>
      <c r="M1523" t="s">
        <v>6</v>
      </c>
    </row>
    <row r="1524" spans="1:13" x14ac:dyDescent="0.25">
      <c r="A1524" s="3" t="s">
        <v>208</v>
      </c>
      <c r="B1524" s="4">
        <v>30</v>
      </c>
      <c r="C1524" s="4"/>
      <c r="D1524" s="4" t="s">
        <v>207</v>
      </c>
      <c r="E1524" s="4" t="s">
        <v>6</v>
      </c>
      <c r="F1524">
        <f>COUNTIFS($D$2:D1524,D1524)</f>
        <v>22</v>
      </c>
      <c r="G1524" t="str">
        <f t="shared" si="23"/>
        <v>3871T</v>
      </c>
      <c r="H1524">
        <v>5.4555433000000004</v>
      </c>
      <c r="I1524">
        <v>52.172067699999999</v>
      </c>
      <c r="J1524" t="s">
        <v>529</v>
      </c>
      <c r="K1524" t="s">
        <v>373</v>
      </c>
      <c r="L1524" t="s">
        <v>207</v>
      </c>
      <c r="M1524" t="s">
        <v>6</v>
      </c>
    </row>
    <row r="1525" spans="1:13" x14ac:dyDescent="0.25">
      <c r="A1525" s="3" t="s">
        <v>208</v>
      </c>
      <c r="B1525" s="4">
        <v>32</v>
      </c>
      <c r="C1525" s="4"/>
      <c r="D1525" s="4" t="s">
        <v>207</v>
      </c>
      <c r="E1525" s="4" t="s">
        <v>6</v>
      </c>
      <c r="F1525">
        <f>COUNTIFS($D$2:D1525,D1525)</f>
        <v>23</v>
      </c>
      <c r="G1525" t="str">
        <f t="shared" si="23"/>
        <v>3871T</v>
      </c>
      <c r="H1525">
        <v>5.4555433999999998</v>
      </c>
      <c r="I1525">
        <v>52.172130600000003</v>
      </c>
      <c r="J1525" t="s">
        <v>529</v>
      </c>
      <c r="K1525" t="s">
        <v>273</v>
      </c>
      <c r="L1525" t="s">
        <v>207</v>
      </c>
      <c r="M1525" t="s">
        <v>6</v>
      </c>
    </row>
    <row r="1526" spans="1:13" x14ac:dyDescent="0.25">
      <c r="A1526" s="3" t="s">
        <v>208</v>
      </c>
      <c r="B1526" s="4">
        <v>34</v>
      </c>
      <c r="C1526" s="4"/>
      <c r="D1526" s="4" t="s">
        <v>207</v>
      </c>
      <c r="E1526" s="4" t="s">
        <v>6</v>
      </c>
      <c r="F1526">
        <f>COUNTIFS($D$2:D1526,D1526)</f>
        <v>24</v>
      </c>
      <c r="G1526" t="str">
        <f t="shared" si="23"/>
        <v>3871T</v>
      </c>
      <c r="H1526">
        <v>5.4552361999999999</v>
      </c>
      <c r="I1526">
        <v>52.1720319</v>
      </c>
      <c r="J1526" t="s">
        <v>529</v>
      </c>
      <c r="K1526" t="s">
        <v>274</v>
      </c>
      <c r="L1526" t="s">
        <v>207</v>
      </c>
      <c r="M1526" t="s">
        <v>6</v>
      </c>
    </row>
    <row r="1527" spans="1:13" x14ac:dyDescent="0.25">
      <c r="A1527" s="3" t="s">
        <v>208</v>
      </c>
      <c r="B1527" s="4">
        <v>36</v>
      </c>
      <c r="C1527" s="4"/>
      <c r="D1527" s="4" t="s">
        <v>207</v>
      </c>
      <c r="E1527" s="4" t="s">
        <v>6</v>
      </c>
      <c r="F1527">
        <f>COUNTIFS($D$2:D1527,D1527)</f>
        <v>25</v>
      </c>
      <c r="G1527" t="str">
        <f t="shared" si="23"/>
        <v>3871T</v>
      </c>
      <c r="H1527">
        <v>5.4551485</v>
      </c>
      <c r="I1527">
        <v>52.172023000000003</v>
      </c>
      <c r="J1527" t="s">
        <v>529</v>
      </c>
      <c r="K1527" t="s">
        <v>275</v>
      </c>
      <c r="L1527" t="s">
        <v>207</v>
      </c>
      <c r="M1527" t="s">
        <v>6</v>
      </c>
    </row>
    <row r="1528" spans="1:13" x14ac:dyDescent="0.25">
      <c r="A1528" s="3" t="s">
        <v>208</v>
      </c>
      <c r="B1528" s="4">
        <v>38</v>
      </c>
      <c r="C1528" s="4"/>
      <c r="D1528" s="4" t="s">
        <v>207</v>
      </c>
      <c r="E1528" s="4" t="s">
        <v>6</v>
      </c>
      <c r="F1528">
        <f>COUNTIFS($D$2:D1528,D1528)</f>
        <v>26</v>
      </c>
      <c r="G1528" t="str">
        <f t="shared" si="23"/>
        <v>3871T</v>
      </c>
      <c r="H1528">
        <v>5.4550608</v>
      </c>
      <c r="I1528">
        <v>52.172023000000003</v>
      </c>
      <c r="J1528" t="s">
        <v>529</v>
      </c>
      <c r="K1528" t="s">
        <v>374</v>
      </c>
      <c r="L1528" t="s">
        <v>207</v>
      </c>
      <c r="M1528" t="s">
        <v>6</v>
      </c>
    </row>
    <row r="1529" spans="1:13" x14ac:dyDescent="0.25">
      <c r="A1529" s="3" t="s">
        <v>208</v>
      </c>
      <c r="B1529" s="4">
        <v>40</v>
      </c>
      <c r="C1529" s="4"/>
      <c r="D1529" s="4" t="s">
        <v>207</v>
      </c>
      <c r="E1529" s="4" t="s">
        <v>6</v>
      </c>
      <c r="F1529">
        <f>COUNTIFS($D$2:D1529,D1529)</f>
        <v>27</v>
      </c>
      <c r="G1529" t="str">
        <f t="shared" si="23"/>
        <v>3871T</v>
      </c>
      <c r="H1529">
        <v>5.4549731000000001</v>
      </c>
      <c r="I1529">
        <v>52.172023099999997</v>
      </c>
      <c r="J1529" t="s">
        <v>529</v>
      </c>
      <c r="K1529" t="s">
        <v>276</v>
      </c>
      <c r="L1529" t="s">
        <v>207</v>
      </c>
      <c r="M1529" t="s">
        <v>6</v>
      </c>
    </row>
    <row r="1530" spans="1:13" x14ac:dyDescent="0.25">
      <c r="A1530" s="3" t="s">
        <v>208</v>
      </c>
      <c r="B1530" s="4">
        <v>42</v>
      </c>
      <c r="C1530" s="4"/>
      <c r="D1530" s="4" t="s">
        <v>207</v>
      </c>
      <c r="E1530" s="4" t="s">
        <v>6</v>
      </c>
      <c r="F1530">
        <f>COUNTIFS($D$2:D1530,D1530)</f>
        <v>28</v>
      </c>
      <c r="G1530" t="str">
        <f t="shared" si="23"/>
        <v>3871T</v>
      </c>
      <c r="H1530">
        <v>5.454637</v>
      </c>
      <c r="I1530">
        <v>52.172086200000003</v>
      </c>
      <c r="J1530" t="s">
        <v>529</v>
      </c>
      <c r="K1530" t="s">
        <v>376</v>
      </c>
      <c r="L1530" t="s">
        <v>207</v>
      </c>
      <c r="M1530" t="s">
        <v>6</v>
      </c>
    </row>
    <row r="1531" spans="1:13" x14ac:dyDescent="0.25">
      <c r="A1531" s="3" t="s">
        <v>208</v>
      </c>
      <c r="B1531" s="4">
        <v>44</v>
      </c>
      <c r="C1531" s="4"/>
      <c r="D1531" s="4" t="s">
        <v>207</v>
      </c>
      <c r="E1531" s="4" t="s">
        <v>6</v>
      </c>
      <c r="F1531">
        <f>COUNTIFS($D$2:D1531,D1531)</f>
        <v>29</v>
      </c>
      <c r="G1531" t="str">
        <f t="shared" si="23"/>
        <v>3871T</v>
      </c>
      <c r="H1531">
        <v>5.4546514999999998</v>
      </c>
      <c r="I1531">
        <v>52.172032199999997</v>
      </c>
      <c r="J1531" t="s">
        <v>529</v>
      </c>
      <c r="K1531" t="s">
        <v>377</v>
      </c>
      <c r="L1531" t="s">
        <v>207</v>
      </c>
      <c r="M1531" t="s">
        <v>6</v>
      </c>
    </row>
    <row r="1532" spans="1:13" x14ac:dyDescent="0.25">
      <c r="A1532" s="3" t="s">
        <v>208</v>
      </c>
      <c r="B1532" s="4">
        <v>46</v>
      </c>
      <c r="C1532" s="4"/>
      <c r="D1532" s="4" t="s">
        <v>207</v>
      </c>
      <c r="E1532" s="4" t="s">
        <v>6</v>
      </c>
      <c r="F1532">
        <f>COUNTIFS($D$2:D1532,D1532)</f>
        <v>30</v>
      </c>
      <c r="G1532" t="str">
        <f t="shared" si="23"/>
        <v>3871T</v>
      </c>
      <c r="H1532">
        <v>5.4546514000000004</v>
      </c>
      <c r="I1532">
        <v>52.171969300000001</v>
      </c>
      <c r="J1532" t="s">
        <v>529</v>
      </c>
      <c r="K1532" t="s">
        <v>277</v>
      </c>
      <c r="L1532" t="s">
        <v>207</v>
      </c>
      <c r="M1532" t="s">
        <v>6</v>
      </c>
    </row>
    <row r="1533" spans="1:13" x14ac:dyDescent="0.25">
      <c r="A1533" s="3" t="s">
        <v>208</v>
      </c>
      <c r="B1533" s="4">
        <v>48</v>
      </c>
      <c r="C1533" s="4"/>
      <c r="D1533" s="4" t="s">
        <v>207</v>
      </c>
      <c r="E1533" s="4" t="s">
        <v>6</v>
      </c>
      <c r="F1533">
        <f>COUNTIFS($D$2:D1533,D1533)</f>
        <v>31</v>
      </c>
      <c r="G1533" t="str">
        <f t="shared" si="23"/>
        <v>3871T</v>
      </c>
      <c r="H1533">
        <v>5.4546659999999996</v>
      </c>
      <c r="I1533">
        <v>52.171924400000002</v>
      </c>
      <c r="J1533" t="s">
        <v>529</v>
      </c>
      <c r="K1533" t="s">
        <v>278</v>
      </c>
      <c r="L1533" t="s">
        <v>207</v>
      </c>
      <c r="M1533" t="s">
        <v>6</v>
      </c>
    </row>
    <row r="1534" spans="1:13" x14ac:dyDescent="0.25">
      <c r="A1534" s="3" t="s">
        <v>208</v>
      </c>
      <c r="B1534" s="4">
        <v>50</v>
      </c>
      <c r="C1534" s="4"/>
      <c r="D1534" s="4" t="s">
        <v>207</v>
      </c>
      <c r="E1534" s="4" t="s">
        <v>6</v>
      </c>
      <c r="F1534">
        <f>COUNTIFS($D$2:D1534,D1534)</f>
        <v>32</v>
      </c>
      <c r="G1534" t="str">
        <f t="shared" si="23"/>
        <v>3871T</v>
      </c>
      <c r="H1534">
        <v>5.4546805000000003</v>
      </c>
      <c r="I1534">
        <v>52.171870400000003</v>
      </c>
      <c r="J1534" t="s">
        <v>529</v>
      </c>
      <c r="K1534" t="s">
        <v>280</v>
      </c>
      <c r="L1534" t="s">
        <v>207</v>
      </c>
      <c r="M1534" t="s">
        <v>6</v>
      </c>
    </row>
    <row r="1535" spans="1:13" x14ac:dyDescent="0.25">
      <c r="A1535" s="3" t="s">
        <v>209</v>
      </c>
      <c r="B1535" s="4">
        <v>1</v>
      </c>
      <c r="C1535" s="4"/>
      <c r="D1535" s="4" t="s">
        <v>210</v>
      </c>
      <c r="E1535" s="4" t="s">
        <v>6</v>
      </c>
      <c r="F1535">
        <f>COUNTIFS($D$2:D1535,D1535)</f>
        <v>1</v>
      </c>
      <c r="G1535" t="str">
        <f t="shared" si="23"/>
        <v>3871T</v>
      </c>
      <c r="H1535">
        <v>5.4549861999999996</v>
      </c>
      <c r="I1535">
        <v>52.171007400000001</v>
      </c>
      <c r="J1535" t="s">
        <v>530</v>
      </c>
      <c r="K1535" t="s">
        <v>355</v>
      </c>
      <c r="L1535" t="s">
        <v>210</v>
      </c>
      <c r="M1535" t="s">
        <v>6</v>
      </c>
    </row>
    <row r="1536" spans="1:13" x14ac:dyDescent="0.25">
      <c r="A1536" s="3" t="s">
        <v>209</v>
      </c>
      <c r="B1536" s="4">
        <v>3</v>
      </c>
      <c r="C1536" s="4"/>
      <c r="D1536" s="4" t="s">
        <v>210</v>
      </c>
      <c r="E1536" s="4" t="s">
        <v>6</v>
      </c>
      <c r="F1536">
        <f>COUNTIFS($D$2:D1536,D1536)</f>
        <v>2</v>
      </c>
      <c r="G1536" t="str">
        <f t="shared" si="23"/>
        <v>3871T</v>
      </c>
      <c r="H1536">
        <v>5.4546644000000004</v>
      </c>
      <c r="I1536">
        <v>52.170917699999997</v>
      </c>
      <c r="J1536" t="s">
        <v>530</v>
      </c>
      <c r="K1536" t="s">
        <v>356</v>
      </c>
      <c r="L1536" t="s">
        <v>210</v>
      </c>
      <c r="M1536" t="s">
        <v>6</v>
      </c>
    </row>
    <row r="1537" spans="1:13" x14ac:dyDescent="0.25">
      <c r="A1537" s="3" t="s">
        <v>209</v>
      </c>
      <c r="B1537" s="4">
        <v>5</v>
      </c>
      <c r="C1537" s="4"/>
      <c r="D1537" s="4" t="s">
        <v>210</v>
      </c>
      <c r="E1537" s="4" t="s">
        <v>6</v>
      </c>
      <c r="F1537">
        <f>COUNTIFS($D$2:D1537,D1537)</f>
        <v>3</v>
      </c>
      <c r="G1537" t="str">
        <f t="shared" si="23"/>
        <v>3871T</v>
      </c>
      <c r="H1537">
        <v>5.4543720999999996</v>
      </c>
      <c r="I1537">
        <v>52.170944900000002</v>
      </c>
      <c r="J1537" t="s">
        <v>530</v>
      </c>
      <c r="K1537" t="s">
        <v>357</v>
      </c>
      <c r="L1537" t="s">
        <v>210</v>
      </c>
      <c r="M1537" t="s">
        <v>6</v>
      </c>
    </row>
    <row r="1538" spans="1:13" x14ac:dyDescent="0.25">
      <c r="A1538" s="3" t="s">
        <v>209</v>
      </c>
      <c r="B1538" s="4">
        <v>6</v>
      </c>
      <c r="C1538" s="4"/>
      <c r="D1538" s="4" t="s">
        <v>210</v>
      </c>
      <c r="E1538" s="4" t="s">
        <v>6</v>
      </c>
      <c r="F1538">
        <f>COUNTIFS($D$2:D1538,D1538)</f>
        <v>4</v>
      </c>
      <c r="G1538" t="str">
        <f t="shared" ref="G1538:G1601" si="24">LEFT(A1538,5)</f>
        <v>3871T</v>
      </c>
      <c r="H1538">
        <v>5.4531008999999999</v>
      </c>
      <c r="I1538">
        <v>52.171287100000001</v>
      </c>
      <c r="J1538" t="s">
        <v>530</v>
      </c>
      <c r="K1538" t="s">
        <v>262</v>
      </c>
      <c r="L1538" t="s">
        <v>210</v>
      </c>
      <c r="M1538" t="s">
        <v>6</v>
      </c>
    </row>
    <row r="1539" spans="1:13" x14ac:dyDescent="0.25">
      <c r="A1539" s="3" t="s">
        <v>209</v>
      </c>
      <c r="B1539" s="4">
        <v>7</v>
      </c>
      <c r="C1539" s="4"/>
      <c r="D1539" s="4" t="s">
        <v>210</v>
      </c>
      <c r="E1539" s="4" t="s">
        <v>6</v>
      </c>
      <c r="F1539">
        <f>COUNTIFS($D$2:D1539,D1539)</f>
        <v>5</v>
      </c>
      <c r="G1539" t="str">
        <f t="shared" si="24"/>
        <v>3871T</v>
      </c>
      <c r="H1539">
        <v>5.4542843999999997</v>
      </c>
      <c r="I1539">
        <v>52.170935900000003</v>
      </c>
      <c r="J1539" t="s">
        <v>530</v>
      </c>
      <c r="K1539" t="s">
        <v>358</v>
      </c>
      <c r="L1539" t="s">
        <v>210</v>
      </c>
      <c r="M1539" t="s">
        <v>6</v>
      </c>
    </row>
    <row r="1540" spans="1:13" x14ac:dyDescent="0.25">
      <c r="A1540" s="3" t="s">
        <v>209</v>
      </c>
      <c r="B1540" s="4">
        <v>8</v>
      </c>
      <c r="C1540" s="4"/>
      <c r="D1540" s="4" t="s">
        <v>210</v>
      </c>
      <c r="E1540" s="4" t="s">
        <v>6</v>
      </c>
      <c r="F1540">
        <f>COUNTIFS($D$2:D1540,D1540)</f>
        <v>6</v>
      </c>
      <c r="G1540" t="str">
        <f t="shared" si="24"/>
        <v>3871T</v>
      </c>
      <c r="H1540">
        <v>5.4529399999999999</v>
      </c>
      <c r="I1540">
        <v>52.171197300000003</v>
      </c>
      <c r="J1540" t="s">
        <v>530</v>
      </c>
      <c r="K1540" t="s">
        <v>263</v>
      </c>
      <c r="L1540" t="s">
        <v>210</v>
      </c>
      <c r="M1540" t="s">
        <v>6</v>
      </c>
    </row>
    <row r="1541" spans="1:13" x14ac:dyDescent="0.25">
      <c r="A1541" s="3" t="s">
        <v>209</v>
      </c>
      <c r="B1541" s="4">
        <v>9</v>
      </c>
      <c r="C1541" s="4"/>
      <c r="D1541" s="4" t="s">
        <v>210</v>
      </c>
      <c r="E1541" s="4" t="s">
        <v>6</v>
      </c>
      <c r="F1541">
        <f>COUNTIFS($D$2:D1541,D1541)</f>
        <v>7</v>
      </c>
      <c r="G1541" t="str">
        <f t="shared" si="24"/>
        <v>3871T</v>
      </c>
      <c r="H1541">
        <v>5.4540943999999998</v>
      </c>
      <c r="I1541">
        <v>52.170945000000003</v>
      </c>
      <c r="J1541" t="s">
        <v>530</v>
      </c>
      <c r="K1541" t="s">
        <v>382</v>
      </c>
      <c r="L1541" t="s">
        <v>210</v>
      </c>
      <c r="M1541" t="s">
        <v>6</v>
      </c>
    </row>
    <row r="1542" spans="1:13" x14ac:dyDescent="0.25">
      <c r="A1542" s="3" t="s">
        <v>209</v>
      </c>
      <c r="B1542" s="4">
        <v>10</v>
      </c>
      <c r="C1542" s="4"/>
      <c r="D1542" s="4" t="s">
        <v>210</v>
      </c>
      <c r="E1542" s="4" t="s">
        <v>6</v>
      </c>
      <c r="F1542">
        <f>COUNTIFS($D$2:D1542,D1542)</f>
        <v>8</v>
      </c>
      <c r="G1542" t="str">
        <f t="shared" si="24"/>
        <v>3871T</v>
      </c>
      <c r="H1542">
        <v>5.4527793000000004</v>
      </c>
      <c r="I1542">
        <v>52.171287300000003</v>
      </c>
      <c r="J1542" t="s">
        <v>530</v>
      </c>
      <c r="K1542" t="s">
        <v>264</v>
      </c>
      <c r="L1542" t="s">
        <v>210</v>
      </c>
      <c r="M1542" t="s">
        <v>6</v>
      </c>
    </row>
    <row r="1543" spans="1:13" x14ac:dyDescent="0.25">
      <c r="A1543" s="3" t="s">
        <v>209</v>
      </c>
      <c r="B1543" s="4">
        <v>11</v>
      </c>
      <c r="C1543" s="4"/>
      <c r="D1543" s="4" t="s">
        <v>210</v>
      </c>
      <c r="E1543" s="4" t="s">
        <v>6</v>
      </c>
      <c r="F1543">
        <f>COUNTIFS($D$2:D1543,D1543)</f>
        <v>9</v>
      </c>
      <c r="G1543" t="str">
        <f t="shared" si="24"/>
        <v>3871T</v>
      </c>
      <c r="H1543">
        <v>5.4539774000000003</v>
      </c>
      <c r="I1543">
        <v>52.170936099999999</v>
      </c>
      <c r="J1543" t="s">
        <v>530</v>
      </c>
      <c r="K1543" t="s">
        <v>391</v>
      </c>
      <c r="L1543" t="s">
        <v>210</v>
      </c>
      <c r="M1543" t="s">
        <v>6</v>
      </c>
    </row>
    <row r="1544" spans="1:13" x14ac:dyDescent="0.25">
      <c r="A1544" s="3" t="s">
        <v>209</v>
      </c>
      <c r="B1544" s="4">
        <v>12</v>
      </c>
      <c r="C1544" s="4"/>
      <c r="D1544" s="4" t="s">
        <v>210</v>
      </c>
      <c r="E1544" s="4" t="s">
        <v>6</v>
      </c>
      <c r="F1544">
        <f>COUNTIFS($D$2:D1544,D1544)</f>
        <v>10</v>
      </c>
      <c r="G1544" t="str">
        <f t="shared" si="24"/>
        <v>3871T</v>
      </c>
      <c r="H1544">
        <v>5.4525892000000002</v>
      </c>
      <c r="I1544">
        <v>52.171278399999998</v>
      </c>
      <c r="J1544" t="s">
        <v>530</v>
      </c>
      <c r="K1544" t="s">
        <v>265</v>
      </c>
      <c r="L1544" t="s">
        <v>210</v>
      </c>
      <c r="M1544" t="s">
        <v>6</v>
      </c>
    </row>
    <row r="1545" spans="1:13" x14ac:dyDescent="0.25">
      <c r="A1545" s="3" t="s">
        <v>209</v>
      </c>
      <c r="B1545" s="4">
        <v>13</v>
      </c>
      <c r="C1545" s="4"/>
      <c r="D1545" s="4" t="s">
        <v>210</v>
      </c>
      <c r="E1545" s="4" t="s">
        <v>6</v>
      </c>
      <c r="F1545">
        <f>COUNTIFS($D$2:D1545,D1545)</f>
        <v>11</v>
      </c>
      <c r="G1545" t="str">
        <f t="shared" si="24"/>
        <v>3871T</v>
      </c>
      <c r="H1545">
        <v>5.4536850000000001</v>
      </c>
      <c r="I1545">
        <v>52.170909299999998</v>
      </c>
      <c r="J1545" t="s">
        <v>530</v>
      </c>
      <c r="K1545" t="s">
        <v>359</v>
      </c>
      <c r="L1545" t="s">
        <v>210</v>
      </c>
      <c r="M1545" t="s">
        <v>6</v>
      </c>
    </row>
    <row r="1546" spans="1:13" x14ac:dyDescent="0.25">
      <c r="A1546" s="3" t="s">
        <v>209</v>
      </c>
      <c r="B1546" s="4">
        <v>14</v>
      </c>
      <c r="C1546" s="4"/>
      <c r="D1546" s="4" t="s">
        <v>210</v>
      </c>
      <c r="E1546" s="4" t="s">
        <v>6</v>
      </c>
      <c r="F1546">
        <f>COUNTIFS($D$2:D1546,D1546)</f>
        <v>12</v>
      </c>
      <c r="G1546" t="str">
        <f t="shared" si="24"/>
        <v>3871T</v>
      </c>
      <c r="H1546">
        <v>5.4524479000000001</v>
      </c>
      <c r="I1546">
        <v>52.171171899999997</v>
      </c>
      <c r="J1546" t="s">
        <v>530</v>
      </c>
      <c r="K1546" t="s">
        <v>266</v>
      </c>
      <c r="L1546" t="s">
        <v>210</v>
      </c>
      <c r="M1546" t="s">
        <v>6</v>
      </c>
    </row>
    <row r="1547" spans="1:13" x14ac:dyDescent="0.25">
      <c r="A1547" s="3" t="s">
        <v>209</v>
      </c>
      <c r="B1547" s="4">
        <v>15</v>
      </c>
      <c r="C1547" s="4"/>
      <c r="D1547" s="4" t="s">
        <v>210</v>
      </c>
      <c r="E1547" s="4" t="s">
        <v>6</v>
      </c>
      <c r="F1547">
        <f>COUNTIFS($D$2:D1547,D1547)</f>
        <v>13</v>
      </c>
      <c r="G1547" t="str">
        <f t="shared" si="24"/>
        <v>3871T</v>
      </c>
      <c r="H1547">
        <v>5.4535827000000001</v>
      </c>
      <c r="I1547">
        <v>52.170900400000001</v>
      </c>
      <c r="J1547" t="s">
        <v>530</v>
      </c>
      <c r="K1547" t="s">
        <v>383</v>
      </c>
      <c r="L1547" t="s">
        <v>210</v>
      </c>
      <c r="M1547" t="s">
        <v>6</v>
      </c>
    </row>
    <row r="1548" spans="1:13" x14ac:dyDescent="0.25">
      <c r="A1548" s="3" t="s">
        <v>209</v>
      </c>
      <c r="B1548" s="4">
        <v>16</v>
      </c>
      <c r="C1548" s="4"/>
      <c r="D1548" s="4" t="s">
        <v>210</v>
      </c>
      <c r="E1548" s="4" t="s">
        <v>6</v>
      </c>
      <c r="F1548">
        <f>COUNTIFS($D$2:D1548,D1548)</f>
        <v>14</v>
      </c>
      <c r="G1548" t="str">
        <f t="shared" si="24"/>
        <v>3871T</v>
      </c>
      <c r="H1548">
        <v>5.4522823000000002</v>
      </c>
      <c r="I1548">
        <v>52.171269600000002</v>
      </c>
      <c r="J1548" t="s">
        <v>530</v>
      </c>
      <c r="K1548" t="s">
        <v>371</v>
      </c>
      <c r="L1548" t="s">
        <v>210</v>
      </c>
      <c r="M1548" t="s">
        <v>6</v>
      </c>
    </row>
    <row r="1549" spans="1:13" x14ac:dyDescent="0.25">
      <c r="A1549" s="3" t="s">
        <v>209</v>
      </c>
      <c r="B1549" s="4">
        <v>17</v>
      </c>
      <c r="C1549" s="4"/>
      <c r="D1549" s="4" t="s">
        <v>210</v>
      </c>
      <c r="E1549" s="4" t="s">
        <v>6</v>
      </c>
      <c r="F1549">
        <f>COUNTIFS($D$2:D1549,D1549)</f>
        <v>15</v>
      </c>
      <c r="G1549" t="str">
        <f t="shared" si="24"/>
        <v>3871T</v>
      </c>
      <c r="H1549">
        <v>5.4534948999999999</v>
      </c>
      <c r="I1549">
        <v>52.1708645</v>
      </c>
      <c r="J1549" t="s">
        <v>530</v>
      </c>
      <c r="K1549" t="s">
        <v>360</v>
      </c>
      <c r="L1549" t="s">
        <v>210</v>
      </c>
      <c r="M1549" t="s">
        <v>6</v>
      </c>
    </row>
    <row r="1550" spans="1:13" x14ac:dyDescent="0.25">
      <c r="A1550" s="3" t="s">
        <v>209</v>
      </c>
      <c r="B1550" s="4">
        <v>18</v>
      </c>
      <c r="C1550" s="4"/>
      <c r="D1550" s="4" t="s">
        <v>210</v>
      </c>
      <c r="E1550" s="4" t="s">
        <v>6</v>
      </c>
      <c r="F1550">
        <f>COUNTIFS($D$2:D1550,D1550)</f>
        <v>16</v>
      </c>
      <c r="G1550" t="str">
        <f t="shared" si="24"/>
        <v>3871T</v>
      </c>
      <c r="H1550">
        <v>5.4519457999999998</v>
      </c>
      <c r="I1550">
        <v>52.171117000000002</v>
      </c>
      <c r="J1550" t="s">
        <v>530</v>
      </c>
      <c r="K1550" t="s">
        <v>267</v>
      </c>
      <c r="L1550" t="s">
        <v>210</v>
      </c>
      <c r="M1550" t="s">
        <v>6</v>
      </c>
    </row>
    <row r="1551" spans="1:13" x14ac:dyDescent="0.25">
      <c r="A1551" s="3" t="s">
        <v>209</v>
      </c>
      <c r="B1551" s="4">
        <v>19</v>
      </c>
      <c r="C1551" s="4"/>
      <c r="D1551" s="4" t="s">
        <v>210</v>
      </c>
      <c r="E1551" s="4" t="s">
        <v>6</v>
      </c>
      <c r="F1551">
        <f>COUNTIFS($D$2:D1551,D1551)</f>
        <v>17</v>
      </c>
      <c r="G1551" t="str">
        <f t="shared" si="24"/>
        <v>3871T</v>
      </c>
      <c r="H1551">
        <v>5.4533925999999999</v>
      </c>
      <c r="I1551">
        <v>52.170855500000002</v>
      </c>
      <c r="J1551" t="s">
        <v>530</v>
      </c>
      <c r="K1551" t="s">
        <v>361</v>
      </c>
      <c r="L1551" t="s">
        <v>210</v>
      </c>
      <c r="M1551" t="s">
        <v>6</v>
      </c>
    </row>
    <row r="1552" spans="1:13" x14ac:dyDescent="0.25">
      <c r="A1552" s="3" t="s">
        <v>209</v>
      </c>
      <c r="B1552" s="4">
        <v>20</v>
      </c>
      <c r="C1552" s="4"/>
      <c r="D1552" s="4" t="s">
        <v>210</v>
      </c>
      <c r="E1552" s="4" t="s">
        <v>6</v>
      </c>
      <c r="F1552">
        <f>COUNTIFS($D$2:D1552,D1552)</f>
        <v>18</v>
      </c>
      <c r="G1552" t="str">
        <f t="shared" si="24"/>
        <v>3871T</v>
      </c>
      <c r="H1552">
        <v>5.4515804000000001</v>
      </c>
      <c r="I1552">
        <v>52.171108199999999</v>
      </c>
      <c r="J1552" t="s">
        <v>530</v>
      </c>
      <c r="K1552" t="s">
        <v>372</v>
      </c>
      <c r="L1552" t="s">
        <v>210</v>
      </c>
      <c r="M1552" t="s">
        <v>6</v>
      </c>
    </row>
    <row r="1553" spans="1:13" x14ac:dyDescent="0.25">
      <c r="A1553" s="3" t="s">
        <v>209</v>
      </c>
      <c r="B1553" s="4">
        <v>21</v>
      </c>
      <c r="C1553" s="4"/>
      <c r="D1553" s="4" t="s">
        <v>210</v>
      </c>
      <c r="E1553" s="4" t="s">
        <v>6</v>
      </c>
      <c r="F1553">
        <f>COUNTIFS($D$2:D1553,D1553)</f>
        <v>19</v>
      </c>
      <c r="G1553" t="str">
        <f t="shared" si="24"/>
        <v>3871T</v>
      </c>
      <c r="H1553">
        <v>5.4532755999999996</v>
      </c>
      <c r="I1553">
        <v>52.170846599999997</v>
      </c>
      <c r="J1553" t="s">
        <v>530</v>
      </c>
      <c r="K1553" t="s">
        <v>362</v>
      </c>
      <c r="L1553" t="s">
        <v>210</v>
      </c>
      <c r="M1553" t="s">
        <v>6</v>
      </c>
    </row>
    <row r="1554" spans="1:13" x14ac:dyDescent="0.25">
      <c r="A1554" s="3" t="s">
        <v>209</v>
      </c>
      <c r="B1554" s="4">
        <v>23</v>
      </c>
      <c r="C1554" s="4"/>
      <c r="D1554" s="4" t="s">
        <v>210</v>
      </c>
      <c r="E1554" s="4" t="s">
        <v>6</v>
      </c>
      <c r="F1554">
        <f>COUNTIFS($D$2:D1554,D1554)</f>
        <v>20</v>
      </c>
      <c r="G1554" t="str">
        <f t="shared" si="24"/>
        <v>3871T</v>
      </c>
      <c r="H1554">
        <v>5.4531879999999999</v>
      </c>
      <c r="I1554">
        <v>52.170882599999999</v>
      </c>
      <c r="J1554" t="s">
        <v>530</v>
      </c>
      <c r="K1554" t="s">
        <v>384</v>
      </c>
      <c r="L1554" t="s">
        <v>210</v>
      </c>
      <c r="M1554" t="s">
        <v>6</v>
      </c>
    </row>
    <row r="1555" spans="1:13" x14ac:dyDescent="0.25">
      <c r="A1555" s="3" t="s">
        <v>209</v>
      </c>
      <c r="B1555" s="4">
        <v>25</v>
      </c>
      <c r="C1555" s="4"/>
      <c r="D1555" s="4" t="s">
        <v>210</v>
      </c>
      <c r="E1555" s="4" t="s">
        <v>6</v>
      </c>
      <c r="F1555">
        <f>COUNTIFS($D$2:D1555,D1555)</f>
        <v>21</v>
      </c>
      <c r="G1555" t="str">
        <f t="shared" si="24"/>
        <v>3871T</v>
      </c>
      <c r="H1555">
        <v>5.4530856999999999</v>
      </c>
      <c r="I1555">
        <v>52.170873700000001</v>
      </c>
      <c r="J1555" t="s">
        <v>530</v>
      </c>
      <c r="K1555" t="s">
        <v>385</v>
      </c>
      <c r="L1555" t="s">
        <v>210</v>
      </c>
      <c r="M1555" t="s">
        <v>6</v>
      </c>
    </row>
    <row r="1556" spans="1:13" x14ac:dyDescent="0.25">
      <c r="A1556" s="3" t="s">
        <v>209</v>
      </c>
      <c r="B1556" s="4">
        <v>27</v>
      </c>
      <c r="C1556" s="4"/>
      <c r="D1556" s="4" t="s">
        <v>210</v>
      </c>
      <c r="E1556" s="4" t="s">
        <v>6</v>
      </c>
      <c r="F1556">
        <f>COUNTIFS($D$2:D1556,D1556)</f>
        <v>22</v>
      </c>
      <c r="G1556" t="str">
        <f t="shared" si="24"/>
        <v>3871T</v>
      </c>
      <c r="H1556">
        <v>5.4529978999999997</v>
      </c>
      <c r="I1556">
        <v>52.170873700000001</v>
      </c>
      <c r="J1556" t="s">
        <v>530</v>
      </c>
      <c r="K1556" t="s">
        <v>393</v>
      </c>
      <c r="L1556" t="s">
        <v>210</v>
      </c>
      <c r="M1556" t="s">
        <v>6</v>
      </c>
    </row>
    <row r="1557" spans="1:13" x14ac:dyDescent="0.25">
      <c r="A1557" s="3" t="s">
        <v>209</v>
      </c>
      <c r="B1557" s="4">
        <v>29</v>
      </c>
      <c r="C1557" s="4"/>
      <c r="D1557" s="4" t="s">
        <v>210</v>
      </c>
      <c r="E1557" s="4" t="s">
        <v>6</v>
      </c>
      <c r="F1557">
        <f>COUNTIFS($D$2:D1557,D1557)</f>
        <v>23</v>
      </c>
      <c r="G1557" t="str">
        <f t="shared" si="24"/>
        <v>3871T</v>
      </c>
      <c r="H1557">
        <v>5.452267</v>
      </c>
      <c r="I1557">
        <v>52.170847199999997</v>
      </c>
      <c r="J1557" t="s">
        <v>530</v>
      </c>
      <c r="K1557" t="s">
        <v>364</v>
      </c>
      <c r="L1557" t="s">
        <v>210</v>
      </c>
      <c r="M1557" t="s">
        <v>6</v>
      </c>
    </row>
    <row r="1558" spans="1:13" x14ac:dyDescent="0.25">
      <c r="A1558" s="3" t="s">
        <v>209</v>
      </c>
      <c r="B1558" s="4">
        <v>31</v>
      </c>
      <c r="C1558" s="4"/>
      <c r="D1558" s="4" t="s">
        <v>210</v>
      </c>
      <c r="E1558" s="4" t="s">
        <v>6</v>
      </c>
      <c r="F1558">
        <f>COUNTIFS($D$2:D1558,D1558)</f>
        <v>24</v>
      </c>
      <c r="G1558" t="str">
        <f t="shared" si="24"/>
        <v>3871T</v>
      </c>
      <c r="H1558">
        <v>5.4521500999999999</v>
      </c>
      <c r="I1558">
        <v>52.170838199999999</v>
      </c>
      <c r="J1558" t="s">
        <v>530</v>
      </c>
      <c r="K1558" t="s">
        <v>323</v>
      </c>
      <c r="L1558" t="s">
        <v>210</v>
      </c>
      <c r="M1558" t="s">
        <v>6</v>
      </c>
    </row>
    <row r="1559" spans="1:13" x14ac:dyDescent="0.25">
      <c r="A1559" s="3" t="s">
        <v>209</v>
      </c>
      <c r="B1559" s="4">
        <v>33</v>
      </c>
      <c r="C1559" s="4"/>
      <c r="D1559" s="4" t="s">
        <v>210</v>
      </c>
      <c r="E1559" s="4" t="s">
        <v>6</v>
      </c>
      <c r="F1559">
        <f>COUNTIFS($D$2:D1559,D1559)</f>
        <v>25</v>
      </c>
      <c r="G1559" t="str">
        <f t="shared" si="24"/>
        <v>3871T</v>
      </c>
      <c r="H1559">
        <v>5.4520622999999997</v>
      </c>
      <c r="I1559">
        <v>52.170793400000001</v>
      </c>
      <c r="J1559" t="s">
        <v>530</v>
      </c>
      <c r="K1559" t="s">
        <v>365</v>
      </c>
      <c r="L1559" t="s">
        <v>210</v>
      </c>
      <c r="M1559" t="s">
        <v>6</v>
      </c>
    </row>
    <row r="1560" spans="1:13" x14ac:dyDescent="0.25">
      <c r="A1560" s="3" t="s">
        <v>209</v>
      </c>
      <c r="B1560" s="4">
        <v>35</v>
      </c>
      <c r="C1560" s="4"/>
      <c r="D1560" s="4" t="s">
        <v>210</v>
      </c>
      <c r="E1560" s="4" t="s">
        <v>6</v>
      </c>
      <c r="F1560">
        <f>COUNTIFS($D$2:D1560,D1560)</f>
        <v>26</v>
      </c>
      <c r="G1560" t="str">
        <f t="shared" si="24"/>
        <v>3871T</v>
      </c>
      <c r="H1560">
        <v>5.4519745999999998</v>
      </c>
      <c r="I1560">
        <v>52.170793400000001</v>
      </c>
      <c r="J1560" t="s">
        <v>530</v>
      </c>
      <c r="K1560" t="s">
        <v>366</v>
      </c>
      <c r="L1560" t="s">
        <v>210</v>
      </c>
      <c r="M1560" t="s">
        <v>6</v>
      </c>
    </row>
    <row r="1561" spans="1:13" x14ac:dyDescent="0.25">
      <c r="A1561" s="3" t="s">
        <v>209</v>
      </c>
      <c r="B1561" s="4">
        <v>37</v>
      </c>
      <c r="C1561" s="4"/>
      <c r="D1561" s="4" t="s">
        <v>210</v>
      </c>
      <c r="E1561" s="4" t="s">
        <v>6</v>
      </c>
      <c r="F1561">
        <f>COUNTIFS($D$2:D1561,D1561)</f>
        <v>27</v>
      </c>
      <c r="G1561" t="str">
        <f t="shared" si="24"/>
        <v>3871T</v>
      </c>
      <c r="H1561">
        <v>5.4518722999999998</v>
      </c>
      <c r="I1561">
        <v>52.170784500000003</v>
      </c>
      <c r="J1561" t="s">
        <v>530</v>
      </c>
      <c r="K1561" t="s">
        <v>367</v>
      </c>
      <c r="L1561" t="s">
        <v>210</v>
      </c>
      <c r="M1561" t="s">
        <v>6</v>
      </c>
    </row>
    <row r="1562" spans="1:13" x14ac:dyDescent="0.25">
      <c r="A1562" s="3" t="s">
        <v>209</v>
      </c>
      <c r="B1562" s="4">
        <v>39</v>
      </c>
      <c r="C1562" s="4"/>
      <c r="D1562" s="4" t="s">
        <v>210</v>
      </c>
      <c r="E1562" s="4" t="s">
        <v>6</v>
      </c>
      <c r="F1562">
        <f>COUNTIFS($D$2:D1562,D1562)</f>
        <v>28</v>
      </c>
      <c r="G1562" t="str">
        <f t="shared" si="24"/>
        <v>3871T</v>
      </c>
      <c r="H1562">
        <v>5.4517553000000003</v>
      </c>
      <c r="I1562">
        <v>52.170811499999999</v>
      </c>
      <c r="J1562" t="s">
        <v>530</v>
      </c>
      <c r="K1562" t="s">
        <v>368</v>
      </c>
      <c r="L1562" t="s">
        <v>210</v>
      </c>
      <c r="M1562" t="s">
        <v>6</v>
      </c>
    </row>
    <row r="1563" spans="1:13" x14ac:dyDescent="0.25">
      <c r="A1563" s="3" t="s">
        <v>209</v>
      </c>
      <c r="B1563" s="4">
        <v>41</v>
      </c>
      <c r="C1563" s="4"/>
      <c r="D1563" s="4" t="s">
        <v>210</v>
      </c>
      <c r="E1563" s="4" t="s">
        <v>6</v>
      </c>
      <c r="F1563">
        <f>COUNTIFS($D$2:D1563,D1563)</f>
        <v>29</v>
      </c>
      <c r="G1563" t="str">
        <f t="shared" si="24"/>
        <v>3871T</v>
      </c>
      <c r="H1563">
        <v>5.4516676000000004</v>
      </c>
      <c r="I1563">
        <v>52.170811499999999</v>
      </c>
      <c r="J1563" t="s">
        <v>530</v>
      </c>
      <c r="K1563" t="s">
        <v>325</v>
      </c>
      <c r="L1563" t="s">
        <v>210</v>
      </c>
      <c r="M1563" t="s">
        <v>6</v>
      </c>
    </row>
    <row r="1564" spans="1:13" x14ac:dyDescent="0.25">
      <c r="A1564" s="3" t="s">
        <v>209</v>
      </c>
      <c r="B1564" s="4">
        <v>43</v>
      </c>
      <c r="C1564" s="4"/>
      <c r="D1564" s="4" t="s">
        <v>210</v>
      </c>
      <c r="E1564" s="4" t="s">
        <v>6</v>
      </c>
      <c r="F1564">
        <f>COUNTIFS($D$2:D1564,D1564)</f>
        <v>30</v>
      </c>
      <c r="G1564" t="str">
        <f t="shared" si="24"/>
        <v>3871T</v>
      </c>
      <c r="H1564">
        <v>5.4512583000000001</v>
      </c>
      <c r="I1564">
        <v>52.170757799999997</v>
      </c>
      <c r="J1564" t="s">
        <v>530</v>
      </c>
      <c r="K1564" t="s">
        <v>326</v>
      </c>
      <c r="L1564" t="s">
        <v>210</v>
      </c>
      <c r="M1564" t="s">
        <v>6</v>
      </c>
    </row>
    <row r="1565" spans="1:13" x14ac:dyDescent="0.25">
      <c r="A1565" s="3" t="s">
        <v>209</v>
      </c>
      <c r="B1565" s="4">
        <v>45</v>
      </c>
      <c r="C1565" s="4"/>
      <c r="D1565" s="4" t="s">
        <v>210</v>
      </c>
      <c r="E1565" s="4" t="s">
        <v>6</v>
      </c>
      <c r="F1565">
        <f>COUNTIFS($D$2:D1565,D1565)</f>
        <v>31</v>
      </c>
      <c r="G1565" t="str">
        <f t="shared" si="24"/>
        <v>3871T</v>
      </c>
      <c r="H1565">
        <v>5.4511560000000001</v>
      </c>
      <c r="I1565">
        <v>52.170766899999997</v>
      </c>
      <c r="J1565" t="s">
        <v>530</v>
      </c>
      <c r="K1565" t="s">
        <v>327</v>
      </c>
      <c r="L1565" t="s">
        <v>210</v>
      </c>
      <c r="M1565" t="s">
        <v>6</v>
      </c>
    </row>
    <row r="1566" spans="1:13" x14ac:dyDescent="0.25">
      <c r="A1566" s="3" t="s">
        <v>209</v>
      </c>
      <c r="B1566" s="4">
        <v>47</v>
      </c>
      <c r="C1566" s="4"/>
      <c r="D1566" s="4" t="s">
        <v>210</v>
      </c>
      <c r="E1566" s="4" t="s">
        <v>6</v>
      </c>
      <c r="F1566">
        <f>COUNTIFS($D$2:D1566,D1566)</f>
        <v>32</v>
      </c>
      <c r="G1566" t="str">
        <f t="shared" si="24"/>
        <v>3871T</v>
      </c>
      <c r="H1566">
        <v>5.4510537000000001</v>
      </c>
      <c r="I1566">
        <v>52.1707939</v>
      </c>
      <c r="J1566" t="s">
        <v>530</v>
      </c>
      <c r="K1566" t="s">
        <v>328</v>
      </c>
      <c r="L1566" t="s">
        <v>210</v>
      </c>
      <c r="M1566" t="s">
        <v>6</v>
      </c>
    </row>
    <row r="1567" spans="1:13" x14ac:dyDescent="0.25">
      <c r="A1567" s="3" t="s">
        <v>209</v>
      </c>
      <c r="B1567" s="4">
        <v>49</v>
      </c>
      <c r="C1567" s="4"/>
      <c r="D1567" s="4" t="s">
        <v>210</v>
      </c>
      <c r="E1567" s="4" t="s">
        <v>6</v>
      </c>
      <c r="F1567">
        <f>COUNTIFS($D$2:D1567,D1567)</f>
        <v>33</v>
      </c>
      <c r="G1567" t="str">
        <f t="shared" si="24"/>
        <v>3871T</v>
      </c>
      <c r="H1567">
        <v>5.4509514000000001</v>
      </c>
      <c r="I1567">
        <v>52.170794000000001</v>
      </c>
      <c r="J1567" t="s">
        <v>530</v>
      </c>
      <c r="K1567" t="s">
        <v>329</v>
      </c>
      <c r="L1567" t="s">
        <v>210</v>
      </c>
      <c r="M1567" t="s">
        <v>6</v>
      </c>
    </row>
    <row r="1568" spans="1:13" x14ac:dyDescent="0.25">
      <c r="A1568" s="3" t="s">
        <v>209</v>
      </c>
      <c r="B1568" s="4">
        <v>51</v>
      </c>
      <c r="C1568" s="4"/>
      <c r="D1568" s="4" t="s">
        <v>210</v>
      </c>
      <c r="E1568" s="4" t="s">
        <v>6</v>
      </c>
      <c r="F1568">
        <f>COUNTIFS($D$2:D1568,D1568)</f>
        <v>34</v>
      </c>
      <c r="G1568" t="str">
        <f t="shared" si="24"/>
        <v>3871T</v>
      </c>
      <c r="H1568">
        <v>5.4508635999999999</v>
      </c>
      <c r="I1568">
        <v>52.170794000000001</v>
      </c>
      <c r="J1568" t="s">
        <v>530</v>
      </c>
      <c r="K1568" t="s">
        <v>331</v>
      </c>
      <c r="L1568" t="s">
        <v>210</v>
      </c>
      <c r="M1568" t="s">
        <v>6</v>
      </c>
    </row>
    <row r="1569" spans="1:13" x14ac:dyDescent="0.25">
      <c r="A1569" s="3" t="s">
        <v>211</v>
      </c>
      <c r="B1569" s="4">
        <v>1</v>
      </c>
      <c r="C1569" s="4"/>
      <c r="D1569" s="4" t="s">
        <v>212</v>
      </c>
      <c r="E1569" s="4" t="s">
        <v>6</v>
      </c>
      <c r="F1569">
        <f>COUNTIFS($D$2:D1569,D1569)</f>
        <v>1</v>
      </c>
      <c r="G1569" t="str">
        <f t="shared" si="24"/>
        <v>3871T</v>
      </c>
      <c r="H1569">
        <v>5.4555853000000001</v>
      </c>
      <c r="I1569">
        <v>52.170890200000002</v>
      </c>
      <c r="J1569" t="s">
        <v>531</v>
      </c>
      <c r="K1569" t="s">
        <v>355</v>
      </c>
      <c r="L1569" t="s">
        <v>212</v>
      </c>
      <c r="M1569" t="s">
        <v>6</v>
      </c>
    </row>
    <row r="1570" spans="1:13" x14ac:dyDescent="0.25">
      <c r="A1570" s="3" t="s">
        <v>211</v>
      </c>
      <c r="B1570" s="4">
        <v>2</v>
      </c>
      <c r="C1570" s="4"/>
      <c r="D1570" s="4" t="s">
        <v>212</v>
      </c>
      <c r="E1570" s="4" t="s">
        <v>6</v>
      </c>
      <c r="F1570">
        <f>COUNTIFS($D$2:D1570,D1570)</f>
        <v>2</v>
      </c>
      <c r="G1570" t="str">
        <f t="shared" si="24"/>
        <v>3871T</v>
      </c>
      <c r="H1570">
        <v>5.4557606999999999</v>
      </c>
      <c r="I1570">
        <v>52.170881100000003</v>
      </c>
      <c r="J1570" t="s">
        <v>531</v>
      </c>
      <c r="K1570" t="s">
        <v>370</v>
      </c>
      <c r="L1570" t="s">
        <v>212</v>
      </c>
      <c r="M1570" t="s">
        <v>6</v>
      </c>
    </row>
    <row r="1571" spans="1:13" x14ac:dyDescent="0.25">
      <c r="A1571" s="3" t="s">
        <v>211</v>
      </c>
      <c r="B1571" s="4">
        <v>3</v>
      </c>
      <c r="C1571" s="4"/>
      <c r="D1571" s="4" t="s">
        <v>212</v>
      </c>
      <c r="E1571" s="4" t="s">
        <v>6</v>
      </c>
      <c r="F1571">
        <f>COUNTIFS($D$2:D1571,D1571)</f>
        <v>3</v>
      </c>
      <c r="G1571" t="str">
        <f t="shared" si="24"/>
        <v>3871T</v>
      </c>
      <c r="H1571">
        <v>5.4559068999999996</v>
      </c>
      <c r="I1571">
        <v>52.170881100000003</v>
      </c>
      <c r="J1571" t="s">
        <v>531</v>
      </c>
      <c r="K1571" t="s">
        <v>356</v>
      </c>
      <c r="L1571" t="s">
        <v>212</v>
      </c>
      <c r="M1571" t="s">
        <v>6</v>
      </c>
    </row>
    <row r="1572" spans="1:13" x14ac:dyDescent="0.25">
      <c r="A1572" s="3" t="s">
        <v>211</v>
      </c>
      <c r="B1572" s="4">
        <v>4</v>
      </c>
      <c r="C1572" s="4"/>
      <c r="D1572" s="4" t="s">
        <v>212</v>
      </c>
      <c r="E1572" s="4" t="s">
        <v>6</v>
      </c>
      <c r="F1572">
        <f>COUNTIFS($D$2:D1572,D1572)</f>
        <v>4</v>
      </c>
      <c r="G1572" t="str">
        <f t="shared" si="24"/>
        <v>3871T</v>
      </c>
      <c r="H1572">
        <v>5.4560823000000003</v>
      </c>
      <c r="I1572">
        <v>52.170872000000003</v>
      </c>
      <c r="J1572" t="s">
        <v>531</v>
      </c>
      <c r="K1572" t="s">
        <v>260</v>
      </c>
      <c r="L1572" t="s">
        <v>212</v>
      </c>
      <c r="M1572" t="s">
        <v>6</v>
      </c>
    </row>
    <row r="1573" spans="1:13" x14ac:dyDescent="0.25">
      <c r="A1573" s="3" t="s">
        <v>211</v>
      </c>
      <c r="B1573" s="4">
        <v>5</v>
      </c>
      <c r="C1573" s="4"/>
      <c r="D1573" s="4" t="s">
        <v>212</v>
      </c>
      <c r="E1573" s="4" t="s">
        <v>6</v>
      </c>
      <c r="F1573">
        <f>COUNTIFS($D$2:D1573,D1573)</f>
        <v>5</v>
      </c>
      <c r="G1573" t="str">
        <f t="shared" si="24"/>
        <v>3871T</v>
      </c>
      <c r="H1573">
        <v>5.4562284999999999</v>
      </c>
      <c r="I1573">
        <v>52.170898800000003</v>
      </c>
      <c r="J1573" t="s">
        <v>531</v>
      </c>
      <c r="K1573" t="s">
        <v>357</v>
      </c>
      <c r="L1573" t="s">
        <v>212</v>
      </c>
      <c r="M1573" t="s">
        <v>6</v>
      </c>
    </row>
    <row r="1574" spans="1:13" x14ac:dyDescent="0.25">
      <c r="A1574" s="3" t="s">
        <v>213</v>
      </c>
      <c r="B1574" s="4">
        <v>1</v>
      </c>
      <c r="C1574" s="4"/>
      <c r="D1574" s="4" t="s">
        <v>214</v>
      </c>
      <c r="E1574" s="4" t="s">
        <v>6</v>
      </c>
      <c r="F1574">
        <f>COUNTIFS($D$2:D1574,D1574)</f>
        <v>1</v>
      </c>
      <c r="G1574" t="str">
        <f t="shared" si="24"/>
        <v>3871T</v>
      </c>
      <c r="H1574">
        <v>5.4567699000000003</v>
      </c>
      <c r="I1574">
        <v>52.171249099999997</v>
      </c>
      <c r="J1574" t="s">
        <v>532</v>
      </c>
      <c r="K1574" t="s">
        <v>355</v>
      </c>
      <c r="L1574" t="s">
        <v>214</v>
      </c>
      <c r="M1574" t="s">
        <v>6</v>
      </c>
    </row>
    <row r="1575" spans="1:13" x14ac:dyDescent="0.25">
      <c r="A1575" s="3" t="s">
        <v>213</v>
      </c>
      <c r="B1575" s="4">
        <v>3</v>
      </c>
      <c r="C1575" s="4"/>
      <c r="D1575" s="4" t="s">
        <v>214</v>
      </c>
      <c r="E1575" s="4" t="s">
        <v>6</v>
      </c>
      <c r="F1575">
        <f>COUNTIFS($D$2:D1575,D1575)</f>
        <v>2</v>
      </c>
      <c r="G1575" t="str">
        <f t="shared" si="24"/>
        <v>3871T</v>
      </c>
      <c r="H1575">
        <v>5.4569745999999997</v>
      </c>
      <c r="I1575">
        <v>52.171275899999998</v>
      </c>
      <c r="J1575" t="s">
        <v>532</v>
      </c>
      <c r="K1575" t="s">
        <v>356</v>
      </c>
      <c r="L1575" t="s">
        <v>214</v>
      </c>
      <c r="M1575" t="s">
        <v>6</v>
      </c>
    </row>
    <row r="1576" spans="1:13" x14ac:dyDescent="0.25">
      <c r="A1576" s="3" t="s">
        <v>213</v>
      </c>
      <c r="B1576" s="4">
        <v>5</v>
      </c>
      <c r="C1576" s="4"/>
      <c r="D1576" s="4" t="s">
        <v>214</v>
      </c>
      <c r="E1576" s="4" t="s">
        <v>6</v>
      </c>
      <c r="F1576">
        <f>COUNTIFS($D$2:D1576,D1576)</f>
        <v>3</v>
      </c>
      <c r="G1576" t="str">
        <f t="shared" si="24"/>
        <v>3871T</v>
      </c>
      <c r="H1576">
        <v>5.4571205999999997</v>
      </c>
      <c r="I1576">
        <v>52.171168000000002</v>
      </c>
      <c r="J1576" t="s">
        <v>532</v>
      </c>
      <c r="K1576" t="s">
        <v>357</v>
      </c>
      <c r="L1576" t="s">
        <v>214</v>
      </c>
      <c r="M1576" t="s">
        <v>6</v>
      </c>
    </row>
    <row r="1577" spans="1:13" x14ac:dyDescent="0.25">
      <c r="A1577" s="3" t="s">
        <v>213</v>
      </c>
      <c r="B1577" s="4">
        <v>7</v>
      </c>
      <c r="C1577" s="4"/>
      <c r="D1577" s="4" t="s">
        <v>214</v>
      </c>
      <c r="E1577" s="4" t="s">
        <v>6</v>
      </c>
      <c r="F1577">
        <f>COUNTIFS($D$2:D1577,D1577)</f>
        <v>4</v>
      </c>
      <c r="G1577" t="str">
        <f t="shared" si="24"/>
        <v>3871T</v>
      </c>
      <c r="H1577">
        <v>5.4567987000000002</v>
      </c>
      <c r="I1577">
        <v>52.170988399999999</v>
      </c>
      <c r="J1577" t="s">
        <v>532</v>
      </c>
      <c r="K1577" t="s">
        <v>358</v>
      </c>
      <c r="L1577" t="s">
        <v>214</v>
      </c>
      <c r="M1577" t="s">
        <v>6</v>
      </c>
    </row>
    <row r="1578" spans="1:13" x14ac:dyDescent="0.25">
      <c r="A1578" s="3" t="s">
        <v>213</v>
      </c>
      <c r="B1578" s="4">
        <v>9</v>
      </c>
      <c r="C1578" s="4"/>
      <c r="D1578" s="4" t="s">
        <v>214</v>
      </c>
      <c r="E1578" s="4" t="s">
        <v>6</v>
      </c>
      <c r="F1578">
        <f>COUNTIFS($D$2:D1578,D1578)</f>
        <v>5</v>
      </c>
      <c r="G1578" t="str">
        <f t="shared" si="24"/>
        <v>3871T</v>
      </c>
      <c r="H1578">
        <v>5.4570033999999996</v>
      </c>
      <c r="I1578">
        <v>52.171015199999999</v>
      </c>
      <c r="J1578" t="s">
        <v>532</v>
      </c>
      <c r="K1578" t="s">
        <v>382</v>
      </c>
      <c r="L1578" t="s">
        <v>214</v>
      </c>
      <c r="M1578" t="s">
        <v>6</v>
      </c>
    </row>
    <row r="1579" spans="1:13" x14ac:dyDescent="0.25">
      <c r="A1579" s="3" t="s">
        <v>213</v>
      </c>
      <c r="B1579" s="4">
        <v>11</v>
      </c>
      <c r="C1579" s="4"/>
      <c r="D1579" s="4" t="s">
        <v>214</v>
      </c>
      <c r="E1579" s="4" t="s">
        <v>6</v>
      </c>
      <c r="F1579">
        <f>COUNTIFS($D$2:D1579,D1579)</f>
        <v>6</v>
      </c>
      <c r="G1579" t="str">
        <f t="shared" si="24"/>
        <v>3871T</v>
      </c>
      <c r="H1579">
        <v>5.4571493999999996</v>
      </c>
      <c r="I1579">
        <v>52.170871300000002</v>
      </c>
      <c r="J1579" t="s">
        <v>532</v>
      </c>
      <c r="K1579" t="s">
        <v>391</v>
      </c>
      <c r="L1579" t="s">
        <v>214</v>
      </c>
      <c r="M1579" t="s">
        <v>6</v>
      </c>
    </row>
    <row r="1580" spans="1:13" x14ac:dyDescent="0.25">
      <c r="A1580" s="3" t="s">
        <v>213</v>
      </c>
      <c r="B1580" s="4">
        <v>13</v>
      </c>
      <c r="C1580" s="4"/>
      <c r="D1580" s="4" t="s">
        <v>214</v>
      </c>
      <c r="E1580" s="4" t="s">
        <v>6</v>
      </c>
      <c r="F1580">
        <f>COUNTIFS($D$2:D1580,D1580)</f>
        <v>7</v>
      </c>
      <c r="G1580" t="str">
        <f t="shared" si="24"/>
        <v>3871T</v>
      </c>
      <c r="H1580">
        <v>5.4570322000000004</v>
      </c>
      <c r="I1580">
        <v>52.170718600000001</v>
      </c>
      <c r="J1580" t="s">
        <v>532</v>
      </c>
      <c r="K1580" t="s">
        <v>359</v>
      </c>
      <c r="L1580" t="s">
        <v>214</v>
      </c>
      <c r="M1580" t="s">
        <v>6</v>
      </c>
    </row>
    <row r="1581" spans="1:13" x14ac:dyDescent="0.25">
      <c r="A1581" s="3" t="s">
        <v>213</v>
      </c>
      <c r="B1581" s="4">
        <v>15</v>
      </c>
      <c r="C1581" s="4"/>
      <c r="D1581" s="4" t="s">
        <v>214</v>
      </c>
      <c r="E1581" s="4" t="s">
        <v>6</v>
      </c>
      <c r="F1581">
        <f>COUNTIFS($D$2:D1581,D1581)</f>
        <v>8</v>
      </c>
      <c r="G1581" t="str">
        <f t="shared" si="24"/>
        <v>3871T</v>
      </c>
      <c r="H1581">
        <v>5.4568275000000002</v>
      </c>
      <c r="I1581">
        <v>52.170709700000003</v>
      </c>
      <c r="J1581" t="s">
        <v>532</v>
      </c>
      <c r="K1581" t="s">
        <v>383</v>
      </c>
      <c r="L1581" t="s">
        <v>214</v>
      </c>
      <c r="M1581" t="s">
        <v>6</v>
      </c>
    </row>
    <row r="1582" spans="1:13" x14ac:dyDescent="0.25">
      <c r="A1582" s="3" t="s">
        <v>213</v>
      </c>
      <c r="B1582" s="4">
        <v>19</v>
      </c>
      <c r="C1582" s="4"/>
      <c r="D1582" s="4" t="s">
        <v>214</v>
      </c>
      <c r="E1582" s="4" t="s">
        <v>6</v>
      </c>
      <c r="F1582">
        <f>COUNTIFS($D$2:D1582,D1582)</f>
        <v>9</v>
      </c>
      <c r="G1582" t="str">
        <f t="shared" si="24"/>
        <v>3871T</v>
      </c>
      <c r="H1582">
        <v>5.4570610999999998</v>
      </c>
      <c r="I1582">
        <v>52.170502900000002</v>
      </c>
      <c r="J1582" t="s">
        <v>532</v>
      </c>
      <c r="K1582" t="s">
        <v>361</v>
      </c>
      <c r="L1582" t="s">
        <v>214</v>
      </c>
      <c r="M1582" t="s">
        <v>6</v>
      </c>
    </row>
    <row r="1583" spans="1:13" x14ac:dyDescent="0.25">
      <c r="A1583" s="3" t="s">
        <v>213</v>
      </c>
      <c r="B1583" s="4">
        <v>21</v>
      </c>
      <c r="C1583" s="4"/>
      <c r="D1583" s="4" t="s">
        <v>214</v>
      </c>
      <c r="E1583" s="4" t="s">
        <v>6</v>
      </c>
      <c r="F1583">
        <f>COUNTIFS($D$2:D1583,D1583)</f>
        <v>10</v>
      </c>
      <c r="G1583" t="str">
        <f t="shared" si="24"/>
        <v>3871T</v>
      </c>
      <c r="H1583">
        <v>5.4572070000000004</v>
      </c>
      <c r="I1583">
        <v>52.170349999999999</v>
      </c>
      <c r="J1583" t="s">
        <v>532</v>
      </c>
      <c r="K1583" t="s">
        <v>362</v>
      </c>
      <c r="L1583" t="s">
        <v>214</v>
      </c>
      <c r="M1583" t="s">
        <v>6</v>
      </c>
    </row>
    <row r="1584" spans="1:13" x14ac:dyDescent="0.25">
      <c r="A1584" s="3" t="s">
        <v>213</v>
      </c>
      <c r="B1584" s="4">
        <v>23</v>
      </c>
      <c r="C1584" s="4"/>
      <c r="D1584" s="4" t="s">
        <v>214</v>
      </c>
      <c r="E1584" s="4" t="s">
        <v>6</v>
      </c>
      <c r="F1584">
        <f>COUNTIFS($D$2:D1584,D1584)</f>
        <v>11</v>
      </c>
      <c r="G1584" t="str">
        <f t="shared" si="24"/>
        <v>3871T</v>
      </c>
      <c r="H1584">
        <v>5.4570898000000003</v>
      </c>
      <c r="I1584">
        <v>52.170197299999998</v>
      </c>
      <c r="J1584" t="s">
        <v>532</v>
      </c>
      <c r="K1584" t="s">
        <v>384</v>
      </c>
      <c r="L1584" t="s">
        <v>214</v>
      </c>
      <c r="M1584" t="s">
        <v>6</v>
      </c>
    </row>
    <row r="1585" spans="1:13" x14ac:dyDescent="0.25">
      <c r="A1585" s="3" t="s">
        <v>213</v>
      </c>
      <c r="B1585" s="4">
        <v>25</v>
      </c>
      <c r="C1585" s="4"/>
      <c r="D1585" s="4" t="s">
        <v>214</v>
      </c>
      <c r="E1585" s="4" t="s">
        <v>6</v>
      </c>
      <c r="F1585">
        <f>COUNTIFS($D$2:D1585,D1585)</f>
        <v>12</v>
      </c>
      <c r="G1585" t="str">
        <f t="shared" si="24"/>
        <v>3871T</v>
      </c>
      <c r="H1585">
        <v>5.4568852000000003</v>
      </c>
      <c r="I1585">
        <v>52.170206399999998</v>
      </c>
      <c r="J1585" t="s">
        <v>532</v>
      </c>
      <c r="K1585" t="s">
        <v>385</v>
      </c>
      <c r="L1585" t="s">
        <v>214</v>
      </c>
      <c r="M1585" t="s">
        <v>6</v>
      </c>
    </row>
    <row r="1586" spans="1:13" x14ac:dyDescent="0.25">
      <c r="A1586" s="3" t="s">
        <v>213</v>
      </c>
      <c r="B1586" s="4">
        <v>27</v>
      </c>
      <c r="C1586" s="4"/>
      <c r="D1586" s="4" t="s">
        <v>214</v>
      </c>
      <c r="E1586" s="4" t="s">
        <v>6</v>
      </c>
      <c r="F1586">
        <f>COUNTIFS($D$2:D1586,D1586)</f>
        <v>13</v>
      </c>
      <c r="G1586" t="str">
        <f t="shared" si="24"/>
        <v>3871T</v>
      </c>
      <c r="H1586">
        <v>5.4567968999999996</v>
      </c>
      <c r="I1586">
        <v>52.169820000000001</v>
      </c>
      <c r="J1586" t="s">
        <v>532</v>
      </c>
      <c r="K1586" t="s">
        <v>393</v>
      </c>
      <c r="L1586" t="s">
        <v>214</v>
      </c>
      <c r="M1586" t="s">
        <v>6</v>
      </c>
    </row>
    <row r="1587" spans="1:13" x14ac:dyDescent="0.25">
      <c r="A1587" s="3" t="s">
        <v>213</v>
      </c>
      <c r="B1587" s="4">
        <v>29</v>
      </c>
      <c r="C1587" s="4"/>
      <c r="D1587" s="4" t="s">
        <v>214</v>
      </c>
      <c r="E1587" s="4" t="s">
        <v>6</v>
      </c>
      <c r="F1587">
        <f>COUNTIFS($D$2:D1587,D1587)</f>
        <v>14</v>
      </c>
      <c r="G1587" t="str">
        <f t="shared" si="24"/>
        <v>3871T</v>
      </c>
      <c r="H1587">
        <v>5.4564753000000001</v>
      </c>
      <c r="I1587">
        <v>52.169793200000001</v>
      </c>
      <c r="J1587" t="s">
        <v>532</v>
      </c>
      <c r="K1587" t="s">
        <v>364</v>
      </c>
      <c r="L1587" t="s">
        <v>214</v>
      </c>
      <c r="M1587" t="s">
        <v>6</v>
      </c>
    </row>
    <row r="1588" spans="1:13" x14ac:dyDescent="0.25">
      <c r="A1588" s="3" t="s">
        <v>215</v>
      </c>
      <c r="B1588" s="4">
        <v>31</v>
      </c>
      <c r="C1588" s="4"/>
      <c r="D1588" s="4" t="s">
        <v>214</v>
      </c>
      <c r="E1588" s="4" t="s">
        <v>6</v>
      </c>
      <c r="F1588">
        <f>COUNTIFS($D$2:D1588,D1588)</f>
        <v>15</v>
      </c>
      <c r="G1588" t="str">
        <f t="shared" si="24"/>
        <v>3871T</v>
      </c>
      <c r="H1588">
        <v>5.4561682999999999</v>
      </c>
      <c r="I1588">
        <v>52.1697664</v>
      </c>
      <c r="J1588" t="s">
        <v>533</v>
      </c>
      <c r="K1588" t="s">
        <v>323</v>
      </c>
      <c r="L1588" t="s">
        <v>214</v>
      </c>
      <c r="M1588" t="s">
        <v>6</v>
      </c>
    </row>
    <row r="1589" spans="1:13" x14ac:dyDescent="0.25">
      <c r="A1589" s="3" t="s">
        <v>215</v>
      </c>
      <c r="B1589" s="4">
        <v>33</v>
      </c>
      <c r="C1589" s="4"/>
      <c r="D1589" s="4" t="s">
        <v>214</v>
      </c>
      <c r="E1589" s="4" t="s">
        <v>6</v>
      </c>
      <c r="F1589">
        <f>COUNTIFS($D$2:D1589,D1589)</f>
        <v>16</v>
      </c>
      <c r="G1589" t="str">
        <f t="shared" si="24"/>
        <v>3871T</v>
      </c>
      <c r="H1589">
        <v>5.4558758999999997</v>
      </c>
      <c r="I1589">
        <v>52.169757599999997</v>
      </c>
      <c r="J1589" t="s">
        <v>533</v>
      </c>
      <c r="K1589" t="s">
        <v>365</v>
      </c>
      <c r="L1589" t="s">
        <v>214</v>
      </c>
      <c r="M1589" t="s">
        <v>6</v>
      </c>
    </row>
    <row r="1590" spans="1:13" x14ac:dyDescent="0.25">
      <c r="A1590" s="3" t="s">
        <v>215</v>
      </c>
      <c r="B1590" s="4">
        <v>35</v>
      </c>
      <c r="C1590" s="4"/>
      <c r="D1590" s="4" t="s">
        <v>214</v>
      </c>
      <c r="E1590" s="4" t="s">
        <v>6</v>
      </c>
      <c r="F1590">
        <f>COUNTIFS($D$2:D1590,D1590)</f>
        <v>17</v>
      </c>
      <c r="G1590" t="str">
        <f t="shared" si="24"/>
        <v>3871T</v>
      </c>
      <c r="H1590">
        <v>5.4555397000000001</v>
      </c>
      <c r="I1590">
        <v>52.169757799999999</v>
      </c>
      <c r="J1590" t="s">
        <v>533</v>
      </c>
      <c r="K1590" t="s">
        <v>366</v>
      </c>
      <c r="L1590" t="s">
        <v>214</v>
      </c>
      <c r="M1590" t="s">
        <v>6</v>
      </c>
    </row>
    <row r="1591" spans="1:13" x14ac:dyDescent="0.25">
      <c r="A1591" s="3" t="s">
        <v>215</v>
      </c>
      <c r="B1591" s="4">
        <v>37</v>
      </c>
      <c r="C1591" s="4"/>
      <c r="D1591" s="4" t="s">
        <v>214</v>
      </c>
      <c r="E1591" s="4" t="s">
        <v>6</v>
      </c>
      <c r="F1591">
        <f>COUNTIFS($D$2:D1591,D1591)</f>
        <v>18</v>
      </c>
      <c r="G1591" t="str">
        <f t="shared" si="24"/>
        <v>3871T</v>
      </c>
      <c r="H1591">
        <v>5.4551011999999997</v>
      </c>
      <c r="I1591">
        <v>52.169767</v>
      </c>
      <c r="J1591" t="s">
        <v>533</v>
      </c>
      <c r="K1591" t="s">
        <v>367</v>
      </c>
      <c r="L1591" t="s">
        <v>214</v>
      </c>
      <c r="M1591" t="s">
        <v>6</v>
      </c>
    </row>
    <row r="1592" spans="1:13" x14ac:dyDescent="0.25">
      <c r="A1592" s="3" t="s">
        <v>215</v>
      </c>
      <c r="B1592" s="4">
        <v>39</v>
      </c>
      <c r="C1592" s="4"/>
      <c r="D1592" s="4" t="s">
        <v>214</v>
      </c>
      <c r="E1592" s="4" t="s">
        <v>6</v>
      </c>
      <c r="F1592">
        <f>COUNTIFS($D$2:D1592,D1592)</f>
        <v>19</v>
      </c>
      <c r="G1592" t="str">
        <f t="shared" si="24"/>
        <v>3871T</v>
      </c>
      <c r="H1592">
        <v>5.4547650000000001</v>
      </c>
      <c r="I1592">
        <v>52.1697852</v>
      </c>
      <c r="J1592" t="s">
        <v>533</v>
      </c>
      <c r="K1592" t="s">
        <v>368</v>
      </c>
      <c r="L1592" t="s">
        <v>214</v>
      </c>
      <c r="M1592" t="s">
        <v>6</v>
      </c>
    </row>
    <row r="1593" spans="1:13" x14ac:dyDescent="0.25">
      <c r="A1593" s="3" t="s">
        <v>215</v>
      </c>
      <c r="B1593" s="4">
        <v>41</v>
      </c>
      <c r="C1593" s="4"/>
      <c r="D1593" s="4" t="s">
        <v>214</v>
      </c>
      <c r="E1593" s="4" t="s">
        <v>6</v>
      </c>
      <c r="F1593">
        <f>COUNTIFS($D$2:D1593,D1593)</f>
        <v>20</v>
      </c>
      <c r="G1593" t="str">
        <f t="shared" si="24"/>
        <v>3871T</v>
      </c>
      <c r="H1593">
        <v>5.4551015999999999</v>
      </c>
      <c r="I1593">
        <v>52.170036699999997</v>
      </c>
      <c r="J1593" t="s">
        <v>533</v>
      </c>
      <c r="K1593" t="s">
        <v>325</v>
      </c>
      <c r="L1593" t="s">
        <v>214</v>
      </c>
      <c r="M1593" t="s">
        <v>6</v>
      </c>
    </row>
    <row r="1594" spans="1:13" x14ac:dyDescent="0.25">
      <c r="A1594" s="3" t="s">
        <v>215</v>
      </c>
      <c r="B1594" s="4">
        <v>43</v>
      </c>
      <c r="C1594" s="4"/>
      <c r="D1594" s="4" t="s">
        <v>214</v>
      </c>
      <c r="E1594" s="4" t="s">
        <v>6</v>
      </c>
      <c r="F1594">
        <f>COUNTIFS($D$2:D1594,D1594)</f>
        <v>21</v>
      </c>
      <c r="G1594" t="str">
        <f t="shared" si="24"/>
        <v>3871T</v>
      </c>
      <c r="H1594">
        <v>5.4547508000000002</v>
      </c>
      <c r="I1594">
        <v>52.170045799999997</v>
      </c>
      <c r="J1594" t="s">
        <v>533</v>
      </c>
      <c r="K1594" t="s">
        <v>326</v>
      </c>
      <c r="L1594" t="s">
        <v>214</v>
      </c>
      <c r="M1594" t="s">
        <v>6</v>
      </c>
    </row>
    <row r="1595" spans="1:13" x14ac:dyDescent="0.25">
      <c r="A1595" s="3" t="s">
        <v>215</v>
      </c>
      <c r="B1595" s="4">
        <v>45</v>
      </c>
      <c r="C1595" s="4"/>
      <c r="D1595" s="4" t="s">
        <v>214</v>
      </c>
      <c r="E1595" s="4" t="s">
        <v>6</v>
      </c>
      <c r="F1595">
        <f>COUNTIFS($D$2:D1595,D1595)</f>
        <v>22</v>
      </c>
      <c r="G1595" t="str">
        <f t="shared" si="24"/>
        <v>3871T</v>
      </c>
      <c r="H1595">
        <v>5.4547220000000003</v>
      </c>
      <c r="I1595">
        <v>52.170297499999997</v>
      </c>
      <c r="J1595" t="s">
        <v>533</v>
      </c>
      <c r="K1595" t="s">
        <v>327</v>
      </c>
      <c r="L1595" t="s">
        <v>214</v>
      </c>
      <c r="M1595" t="s">
        <v>6</v>
      </c>
    </row>
    <row r="1596" spans="1:13" x14ac:dyDescent="0.25">
      <c r="A1596" s="3" t="s">
        <v>215</v>
      </c>
      <c r="B1596" s="4">
        <v>47</v>
      </c>
      <c r="C1596" s="4"/>
      <c r="D1596" s="4" t="s">
        <v>214</v>
      </c>
      <c r="E1596" s="4" t="s">
        <v>6</v>
      </c>
      <c r="F1596">
        <f>COUNTIFS($D$2:D1596,D1596)</f>
        <v>23</v>
      </c>
      <c r="G1596" t="str">
        <f t="shared" si="24"/>
        <v>3871T</v>
      </c>
      <c r="H1596">
        <v>5.4550874</v>
      </c>
      <c r="I1596">
        <v>52.170279299999997</v>
      </c>
      <c r="J1596" t="s">
        <v>533</v>
      </c>
      <c r="K1596" t="s">
        <v>328</v>
      </c>
      <c r="L1596" t="s">
        <v>214</v>
      </c>
      <c r="M1596" t="s">
        <v>6</v>
      </c>
    </row>
    <row r="1597" spans="1:13" x14ac:dyDescent="0.25">
      <c r="A1597" s="3" t="s">
        <v>215</v>
      </c>
      <c r="B1597" s="4">
        <v>49</v>
      </c>
      <c r="C1597" s="4"/>
      <c r="D1597" s="4" t="s">
        <v>214</v>
      </c>
      <c r="E1597" s="4" t="s">
        <v>6</v>
      </c>
      <c r="F1597">
        <f>COUNTIFS($D$2:D1597,D1597)</f>
        <v>24</v>
      </c>
      <c r="G1597" t="str">
        <f t="shared" si="24"/>
        <v>3871T</v>
      </c>
      <c r="H1597">
        <v>5.4549852999999997</v>
      </c>
      <c r="I1597">
        <v>52.170459200000003</v>
      </c>
      <c r="J1597" t="s">
        <v>533</v>
      </c>
      <c r="K1597" t="s">
        <v>329</v>
      </c>
      <c r="L1597" t="s">
        <v>214</v>
      </c>
      <c r="M1597" t="s">
        <v>6</v>
      </c>
    </row>
    <row r="1598" spans="1:13" x14ac:dyDescent="0.25">
      <c r="A1598" s="3" t="s">
        <v>215</v>
      </c>
      <c r="B1598" s="4">
        <v>51</v>
      </c>
      <c r="C1598" s="4"/>
      <c r="D1598" s="4" t="s">
        <v>214</v>
      </c>
      <c r="E1598" s="4" t="s">
        <v>6</v>
      </c>
      <c r="F1598">
        <f>COUNTIFS($D$2:D1598,D1598)</f>
        <v>25</v>
      </c>
      <c r="G1598" t="str">
        <f t="shared" si="24"/>
        <v>3871T</v>
      </c>
      <c r="H1598">
        <v>5.4550296999999999</v>
      </c>
      <c r="I1598">
        <v>52.170782699999997</v>
      </c>
      <c r="J1598" t="s">
        <v>533</v>
      </c>
      <c r="K1598" t="s">
        <v>331</v>
      </c>
      <c r="L1598" t="s">
        <v>214</v>
      </c>
      <c r="M1598" t="s">
        <v>6</v>
      </c>
    </row>
    <row r="1599" spans="1:13" x14ac:dyDescent="0.25">
      <c r="A1599" s="3" t="s">
        <v>216</v>
      </c>
      <c r="B1599" s="4">
        <v>2</v>
      </c>
      <c r="C1599" s="4"/>
      <c r="D1599" s="4" t="s">
        <v>214</v>
      </c>
      <c r="E1599" s="4" t="s">
        <v>6</v>
      </c>
      <c r="F1599">
        <f>COUNTIFS($D$2:D1599,D1599)</f>
        <v>26</v>
      </c>
      <c r="G1599" t="str">
        <f t="shared" si="24"/>
        <v>3871T</v>
      </c>
      <c r="H1599">
        <v>5.4565201999999999</v>
      </c>
      <c r="I1599">
        <v>52.1704583</v>
      </c>
      <c r="J1599" t="s">
        <v>534</v>
      </c>
      <c r="K1599" t="s">
        <v>370</v>
      </c>
      <c r="L1599" t="s">
        <v>214</v>
      </c>
      <c r="M1599" t="s">
        <v>6</v>
      </c>
    </row>
    <row r="1600" spans="1:13" x14ac:dyDescent="0.25">
      <c r="A1600" s="3" t="s">
        <v>216</v>
      </c>
      <c r="B1600" s="4">
        <v>4</v>
      </c>
      <c r="C1600" s="4"/>
      <c r="D1600" s="4" t="s">
        <v>214</v>
      </c>
      <c r="E1600" s="4" t="s">
        <v>6</v>
      </c>
      <c r="F1600">
        <f>COUNTIFS($D$2:D1600,D1600)</f>
        <v>27</v>
      </c>
      <c r="G1600" t="str">
        <f t="shared" si="24"/>
        <v>3871T</v>
      </c>
      <c r="H1600">
        <v>5.4564908000000001</v>
      </c>
      <c r="I1600">
        <v>52.170368400000001</v>
      </c>
      <c r="J1600" t="s">
        <v>534</v>
      </c>
      <c r="K1600" t="s">
        <v>260</v>
      </c>
      <c r="L1600" t="s">
        <v>214</v>
      </c>
      <c r="M1600" t="s">
        <v>6</v>
      </c>
    </row>
    <row r="1601" spans="1:13" x14ac:dyDescent="0.25">
      <c r="A1601" s="3" t="s">
        <v>216</v>
      </c>
      <c r="B1601" s="4">
        <v>6</v>
      </c>
      <c r="C1601" s="4"/>
      <c r="D1601" s="4" t="s">
        <v>214</v>
      </c>
      <c r="E1601" s="4" t="s">
        <v>6</v>
      </c>
      <c r="F1601">
        <f>COUNTIFS($D$2:D1601,D1601)</f>
        <v>28</v>
      </c>
      <c r="G1601" t="str">
        <f t="shared" si="24"/>
        <v>3871T</v>
      </c>
      <c r="H1601">
        <v>5.4565343999999998</v>
      </c>
      <c r="I1601">
        <v>52.170233600000003</v>
      </c>
      <c r="J1601" t="s">
        <v>534</v>
      </c>
      <c r="K1601" t="s">
        <v>262</v>
      </c>
      <c r="L1601" t="s">
        <v>214</v>
      </c>
      <c r="M1601" t="s">
        <v>6</v>
      </c>
    </row>
    <row r="1602" spans="1:13" x14ac:dyDescent="0.25">
      <c r="A1602" s="3" t="s">
        <v>216</v>
      </c>
      <c r="B1602" s="4">
        <v>8</v>
      </c>
      <c r="C1602" s="4"/>
      <c r="D1602" s="4" t="s">
        <v>214</v>
      </c>
      <c r="E1602" s="4" t="s">
        <v>6</v>
      </c>
      <c r="F1602">
        <f>COUNTIFS($D$2:D1602,D1602)</f>
        <v>29</v>
      </c>
      <c r="G1602" t="str">
        <f t="shared" ref="G1602:G1665" si="25">LEFT(A1602,5)</f>
        <v>3871T</v>
      </c>
      <c r="H1602">
        <v>5.4565488999999996</v>
      </c>
      <c r="I1602">
        <v>52.1701257</v>
      </c>
      <c r="J1602" t="s">
        <v>534</v>
      </c>
      <c r="K1602" t="s">
        <v>263</v>
      </c>
      <c r="L1602" t="s">
        <v>214</v>
      </c>
      <c r="M1602" t="s">
        <v>6</v>
      </c>
    </row>
    <row r="1603" spans="1:13" x14ac:dyDescent="0.25">
      <c r="A1603" s="3" t="s">
        <v>216</v>
      </c>
      <c r="B1603" s="4">
        <v>10</v>
      </c>
      <c r="C1603" s="4"/>
      <c r="D1603" s="4" t="s">
        <v>214</v>
      </c>
      <c r="E1603" s="4" t="s">
        <v>6</v>
      </c>
      <c r="F1603">
        <f>COUNTIFS($D$2:D1603,D1603)</f>
        <v>30</v>
      </c>
      <c r="G1603" t="str">
        <f t="shared" si="25"/>
        <v>3871T</v>
      </c>
      <c r="H1603">
        <v>5.4565486999999999</v>
      </c>
      <c r="I1603">
        <v>52.170008799999998</v>
      </c>
      <c r="J1603" t="s">
        <v>534</v>
      </c>
      <c r="K1603" t="s">
        <v>264</v>
      </c>
      <c r="L1603" t="s">
        <v>214</v>
      </c>
      <c r="M1603" t="s">
        <v>6</v>
      </c>
    </row>
    <row r="1604" spans="1:13" x14ac:dyDescent="0.25">
      <c r="A1604" s="3" t="s">
        <v>216</v>
      </c>
      <c r="B1604" s="4">
        <v>12</v>
      </c>
      <c r="C1604" s="4"/>
      <c r="D1604" s="4" t="s">
        <v>214</v>
      </c>
      <c r="E1604" s="4" t="s">
        <v>6</v>
      </c>
      <c r="F1604">
        <f>COUNTIFS($D$2:D1604,D1604)</f>
        <v>31</v>
      </c>
      <c r="G1604" t="str">
        <f t="shared" si="25"/>
        <v>3871T</v>
      </c>
      <c r="H1604">
        <v>5.4562417999999999</v>
      </c>
      <c r="I1604">
        <v>52.170045000000002</v>
      </c>
      <c r="J1604" t="s">
        <v>534</v>
      </c>
      <c r="K1604" t="s">
        <v>265</v>
      </c>
      <c r="L1604" t="s">
        <v>214</v>
      </c>
      <c r="M1604" t="s">
        <v>6</v>
      </c>
    </row>
    <row r="1605" spans="1:13" x14ac:dyDescent="0.25">
      <c r="A1605" s="3" t="s">
        <v>216</v>
      </c>
      <c r="B1605" s="4">
        <v>14</v>
      </c>
      <c r="C1605" s="4"/>
      <c r="D1605" s="4" t="s">
        <v>214</v>
      </c>
      <c r="E1605" s="4" t="s">
        <v>6</v>
      </c>
      <c r="F1605">
        <f>COUNTIFS($D$2:D1605,D1605)</f>
        <v>32</v>
      </c>
      <c r="G1605" t="str">
        <f t="shared" si="25"/>
        <v>3871T</v>
      </c>
      <c r="H1605">
        <v>5.4560810000000002</v>
      </c>
      <c r="I1605">
        <v>52.170054100000002</v>
      </c>
      <c r="J1605" t="s">
        <v>534</v>
      </c>
      <c r="K1605" t="s">
        <v>266</v>
      </c>
      <c r="L1605" t="s">
        <v>214</v>
      </c>
      <c r="M1605" t="s">
        <v>6</v>
      </c>
    </row>
    <row r="1606" spans="1:13" x14ac:dyDescent="0.25">
      <c r="A1606" s="3" t="s">
        <v>216</v>
      </c>
      <c r="B1606" s="4">
        <v>16</v>
      </c>
      <c r="C1606" s="4"/>
      <c r="D1606" s="4" t="s">
        <v>214</v>
      </c>
      <c r="E1606" s="4" t="s">
        <v>6</v>
      </c>
      <c r="F1606">
        <f>COUNTIFS($D$2:D1606,D1606)</f>
        <v>33</v>
      </c>
      <c r="G1606" t="str">
        <f t="shared" si="25"/>
        <v>3871T</v>
      </c>
      <c r="H1606">
        <v>5.4558616999999998</v>
      </c>
      <c r="I1606">
        <v>52.1700272</v>
      </c>
      <c r="J1606" t="s">
        <v>534</v>
      </c>
      <c r="K1606" t="s">
        <v>371</v>
      </c>
      <c r="L1606" t="s">
        <v>214</v>
      </c>
      <c r="M1606" t="s">
        <v>6</v>
      </c>
    </row>
    <row r="1607" spans="1:13" x14ac:dyDescent="0.25">
      <c r="A1607" s="3" t="s">
        <v>216</v>
      </c>
      <c r="B1607" s="4">
        <v>18</v>
      </c>
      <c r="C1607" s="4"/>
      <c r="D1607" s="4" t="s">
        <v>214</v>
      </c>
      <c r="E1607" s="4" t="s">
        <v>6</v>
      </c>
      <c r="F1607">
        <f>COUNTIFS($D$2:D1607,D1607)</f>
        <v>34</v>
      </c>
      <c r="G1607" t="str">
        <f t="shared" si="25"/>
        <v>3871T</v>
      </c>
      <c r="H1607">
        <v>5.4555692999999996</v>
      </c>
      <c r="I1607">
        <v>52.1699555</v>
      </c>
      <c r="J1607" t="s">
        <v>534</v>
      </c>
      <c r="K1607" t="s">
        <v>267</v>
      </c>
      <c r="L1607" t="s">
        <v>214</v>
      </c>
      <c r="M1607" t="s">
        <v>6</v>
      </c>
    </row>
    <row r="1608" spans="1:13" x14ac:dyDescent="0.25">
      <c r="A1608" s="3" t="s">
        <v>216</v>
      </c>
      <c r="B1608" s="4">
        <v>20</v>
      </c>
      <c r="C1608" s="4"/>
      <c r="D1608" s="4" t="s">
        <v>214</v>
      </c>
      <c r="E1608" s="4" t="s">
        <v>6</v>
      </c>
      <c r="F1608">
        <f>COUNTIFS($D$2:D1608,D1608)</f>
        <v>35</v>
      </c>
      <c r="G1608" t="str">
        <f t="shared" si="25"/>
        <v>3871T</v>
      </c>
      <c r="H1608">
        <v>5.4555401999999997</v>
      </c>
      <c r="I1608">
        <v>52.170072400000002</v>
      </c>
      <c r="J1608" t="s">
        <v>534</v>
      </c>
      <c r="K1608" t="s">
        <v>372</v>
      </c>
      <c r="L1608" t="s">
        <v>214</v>
      </c>
      <c r="M1608" t="s">
        <v>6</v>
      </c>
    </row>
    <row r="1609" spans="1:13" x14ac:dyDescent="0.25">
      <c r="A1609" s="3" t="s">
        <v>216</v>
      </c>
      <c r="B1609" s="4">
        <v>22</v>
      </c>
      <c r="C1609" s="4"/>
      <c r="D1609" s="4" t="s">
        <v>214</v>
      </c>
      <c r="E1609" s="4" t="s">
        <v>6</v>
      </c>
      <c r="F1609">
        <f>COUNTIFS($D$2:D1609,D1609)</f>
        <v>36</v>
      </c>
      <c r="G1609" t="str">
        <f t="shared" si="25"/>
        <v>3871T</v>
      </c>
      <c r="H1609">
        <v>5.4555404000000003</v>
      </c>
      <c r="I1609">
        <v>52.170198200000002</v>
      </c>
      <c r="J1609" t="s">
        <v>534</v>
      </c>
      <c r="K1609" t="s">
        <v>269</v>
      </c>
      <c r="L1609" t="s">
        <v>214</v>
      </c>
      <c r="M1609" t="s">
        <v>6</v>
      </c>
    </row>
    <row r="1610" spans="1:13" x14ac:dyDescent="0.25">
      <c r="A1610" s="3" t="s">
        <v>216</v>
      </c>
      <c r="B1610" s="4">
        <v>24</v>
      </c>
      <c r="C1610" s="4"/>
      <c r="D1610" s="4" t="s">
        <v>214</v>
      </c>
      <c r="E1610" s="4" t="s">
        <v>6</v>
      </c>
      <c r="F1610">
        <f>COUNTIFS($D$2:D1610,D1610)</f>
        <v>37</v>
      </c>
      <c r="G1610" t="str">
        <f t="shared" si="25"/>
        <v>3871T</v>
      </c>
      <c r="H1610">
        <v>5.4555552</v>
      </c>
      <c r="I1610">
        <v>52.170324000000001</v>
      </c>
      <c r="J1610" t="s">
        <v>534</v>
      </c>
      <c r="K1610" t="s">
        <v>270</v>
      </c>
      <c r="L1610" t="s">
        <v>214</v>
      </c>
      <c r="M1610" t="s">
        <v>6</v>
      </c>
    </row>
    <row r="1611" spans="1:13" x14ac:dyDescent="0.25">
      <c r="A1611" s="3" t="s">
        <v>216</v>
      </c>
      <c r="B1611" s="4">
        <v>26</v>
      </c>
      <c r="C1611" s="4"/>
      <c r="D1611" s="4" t="s">
        <v>214</v>
      </c>
      <c r="E1611" s="4" t="s">
        <v>6</v>
      </c>
      <c r="F1611">
        <f>COUNTIFS($D$2:D1611,D1611)</f>
        <v>38</v>
      </c>
      <c r="G1611" t="str">
        <f t="shared" si="25"/>
        <v>3871T</v>
      </c>
      <c r="H1611">
        <v>5.4555115000000001</v>
      </c>
      <c r="I1611">
        <v>52.170422899999998</v>
      </c>
      <c r="J1611" t="s">
        <v>534</v>
      </c>
      <c r="K1611" t="s">
        <v>271</v>
      </c>
      <c r="L1611" t="s">
        <v>214</v>
      </c>
      <c r="M1611" t="s">
        <v>6</v>
      </c>
    </row>
    <row r="1612" spans="1:13" x14ac:dyDescent="0.25">
      <c r="A1612" s="3" t="s">
        <v>217</v>
      </c>
      <c r="B1612" s="4">
        <v>1</v>
      </c>
      <c r="C1612" s="4"/>
      <c r="D1612" s="4" t="s">
        <v>218</v>
      </c>
      <c r="E1612" s="4" t="s">
        <v>6</v>
      </c>
      <c r="F1612">
        <f>COUNTIFS($D$2:D1612,D1612)</f>
        <v>1</v>
      </c>
      <c r="G1612" t="str">
        <f t="shared" si="25"/>
        <v>3871T</v>
      </c>
      <c r="H1612">
        <v>5.4562131000000003</v>
      </c>
      <c r="I1612">
        <v>52.170404499999997</v>
      </c>
      <c r="J1612" t="s">
        <v>535</v>
      </c>
      <c r="K1612" t="s">
        <v>355</v>
      </c>
      <c r="L1612" t="s">
        <v>218</v>
      </c>
      <c r="M1612" t="s">
        <v>6</v>
      </c>
    </row>
    <row r="1613" spans="1:13" x14ac:dyDescent="0.25">
      <c r="A1613" s="3" t="s">
        <v>217</v>
      </c>
      <c r="B1613" s="4">
        <v>2</v>
      </c>
      <c r="C1613" s="4"/>
      <c r="D1613" s="4" t="s">
        <v>218</v>
      </c>
      <c r="E1613" s="4" t="s">
        <v>6</v>
      </c>
      <c r="F1613">
        <f>COUNTIFS($D$2:D1613,D1613)</f>
        <v>2</v>
      </c>
      <c r="G1613" t="str">
        <f t="shared" si="25"/>
        <v>3871T</v>
      </c>
      <c r="H1613">
        <v>5.4560377000000004</v>
      </c>
      <c r="I1613">
        <v>52.170377700000003</v>
      </c>
      <c r="J1613" t="s">
        <v>535</v>
      </c>
      <c r="K1613" t="s">
        <v>370</v>
      </c>
      <c r="L1613" t="s">
        <v>218</v>
      </c>
      <c r="M1613" t="s">
        <v>6</v>
      </c>
    </row>
    <row r="1614" spans="1:13" x14ac:dyDescent="0.25">
      <c r="A1614" s="3" t="s">
        <v>217</v>
      </c>
      <c r="B1614" s="4">
        <v>3</v>
      </c>
      <c r="C1614" s="4"/>
      <c r="D1614" s="4" t="s">
        <v>218</v>
      </c>
      <c r="E1614" s="4" t="s">
        <v>6</v>
      </c>
      <c r="F1614">
        <f>COUNTIFS($D$2:D1614,D1614)</f>
        <v>3</v>
      </c>
      <c r="G1614" t="str">
        <f t="shared" si="25"/>
        <v>3871T</v>
      </c>
      <c r="H1614">
        <v>5.4558330000000002</v>
      </c>
      <c r="I1614">
        <v>52.170386800000003</v>
      </c>
      <c r="J1614" t="s">
        <v>535</v>
      </c>
      <c r="K1614" t="s">
        <v>356</v>
      </c>
      <c r="L1614" t="s">
        <v>218</v>
      </c>
      <c r="M1614" t="s">
        <v>6</v>
      </c>
    </row>
    <row r="1615" spans="1:13" x14ac:dyDescent="0.25">
      <c r="A1615" s="3" t="s">
        <v>219</v>
      </c>
      <c r="B1615" s="4">
        <v>1</v>
      </c>
      <c r="C1615" s="4"/>
      <c r="D1615" s="4" t="s">
        <v>220</v>
      </c>
      <c r="E1615" s="4" t="s">
        <v>6</v>
      </c>
      <c r="F1615">
        <f>COUNTIFS($D$2:D1615,D1615)</f>
        <v>1</v>
      </c>
      <c r="G1615" t="str">
        <f t="shared" si="25"/>
        <v>3871V</v>
      </c>
      <c r="H1615">
        <v>5.4640681000000004</v>
      </c>
      <c r="I1615">
        <v>52.173500500000003</v>
      </c>
      <c r="J1615" t="s">
        <v>536</v>
      </c>
      <c r="K1615" t="s">
        <v>355</v>
      </c>
      <c r="L1615" t="s">
        <v>220</v>
      </c>
      <c r="M1615" t="s">
        <v>6</v>
      </c>
    </row>
    <row r="1616" spans="1:13" x14ac:dyDescent="0.25">
      <c r="A1616" s="3" t="s">
        <v>219</v>
      </c>
      <c r="B1616" s="4">
        <v>2</v>
      </c>
      <c r="C1616" s="4"/>
      <c r="D1616" s="4" t="s">
        <v>220</v>
      </c>
      <c r="E1616" s="4" t="s">
        <v>6</v>
      </c>
      <c r="F1616">
        <f>COUNTIFS($D$2:D1616,D1616)</f>
        <v>2</v>
      </c>
      <c r="G1616" t="str">
        <f t="shared" si="25"/>
        <v>3871V</v>
      </c>
      <c r="H1616">
        <v>5.4640680000000001</v>
      </c>
      <c r="I1616">
        <v>52.173446499999997</v>
      </c>
      <c r="J1616" t="s">
        <v>536</v>
      </c>
      <c r="K1616" t="s">
        <v>370</v>
      </c>
      <c r="L1616" t="s">
        <v>220</v>
      </c>
      <c r="M1616" t="s">
        <v>6</v>
      </c>
    </row>
    <row r="1617" spans="1:13" x14ac:dyDescent="0.25">
      <c r="A1617" s="3" t="s">
        <v>219</v>
      </c>
      <c r="B1617" s="4">
        <v>3</v>
      </c>
      <c r="C1617" s="4"/>
      <c r="D1617" s="4" t="s">
        <v>220</v>
      </c>
      <c r="E1617" s="4" t="s">
        <v>6</v>
      </c>
      <c r="F1617">
        <f>COUNTIFS($D$2:D1617,D1617)</f>
        <v>3</v>
      </c>
      <c r="G1617" t="str">
        <f t="shared" si="25"/>
        <v>3871V</v>
      </c>
      <c r="H1617">
        <v>5.4640678999999999</v>
      </c>
      <c r="I1617">
        <v>52.1733926</v>
      </c>
      <c r="J1617" t="s">
        <v>536</v>
      </c>
      <c r="K1617" t="s">
        <v>356</v>
      </c>
      <c r="L1617" t="s">
        <v>220</v>
      </c>
      <c r="M1617" t="s">
        <v>6</v>
      </c>
    </row>
    <row r="1618" spans="1:13" x14ac:dyDescent="0.25">
      <c r="A1618" s="3" t="s">
        <v>219</v>
      </c>
      <c r="B1618" s="4">
        <v>4</v>
      </c>
      <c r="C1618" s="4"/>
      <c r="D1618" s="4" t="s">
        <v>220</v>
      </c>
      <c r="E1618" s="4" t="s">
        <v>6</v>
      </c>
      <c r="F1618">
        <f>COUNTIFS($D$2:D1618,D1618)</f>
        <v>4</v>
      </c>
      <c r="G1618" t="str">
        <f t="shared" si="25"/>
        <v>3871V</v>
      </c>
      <c r="H1618">
        <v>5.4640677999999996</v>
      </c>
      <c r="I1618">
        <v>52.173338700000002</v>
      </c>
      <c r="J1618" t="s">
        <v>536</v>
      </c>
      <c r="K1618" t="s">
        <v>260</v>
      </c>
      <c r="L1618" t="s">
        <v>220</v>
      </c>
      <c r="M1618" t="s">
        <v>6</v>
      </c>
    </row>
    <row r="1619" spans="1:13" x14ac:dyDescent="0.25">
      <c r="A1619" s="3" t="s">
        <v>219</v>
      </c>
      <c r="B1619" s="4">
        <v>5</v>
      </c>
      <c r="C1619" s="4"/>
      <c r="D1619" s="4" t="s">
        <v>220</v>
      </c>
      <c r="E1619" s="4" t="s">
        <v>6</v>
      </c>
      <c r="F1619">
        <f>COUNTIFS($D$2:D1619,D1619)</f>
        <v>5</v>
      </c>
      <c r="G1619" t="str">
        <f t="shared" si="25"/>
        <v>3871V</v>
      </c>
      <c r="H1619">
        <v>5.4640823000000003</v>
      </c>
      <c r="I1619">
        <v>52.173284799999998</v>
      </c>
      <c r="J1619" t="s">
        <v>536</v>
      </c>
      <c r="K1619" t="s">
        <v>357</v>
      </c>
      <c r="L1619" t="s">
        <v>220</v>
      </c>
      <c r="M1619" t="s">
        <v>6</v>
      </c>
    </row>
    <row r="1620" spans="1:13" x14ac:dyDescent="0.25">
      <c r="A1620" s="3" t="s">
        <v>219</v>
      </c>
      <c r="B1620" s="4">
        <v>6</v>
      </c>
      <c r="C1620" s="4"/>
      <c r="D1620" s="4" t="s">
        <v>220</v>
      </c>
      <c r="E1620" s="4" t="s">
        <v>6</v>
      </c>
      <c r="F1620">
        <f>COUNTIFS($D$2:D1620,D1620)</f>
        <v>6</v>
      </c>
      <c r="G1620" t="str">
        <f t="shared" si="25"/>
        <v>3871V</v>
      </c>
      <c r="H1620">
        <v>5.4640822</v>
      </c>
      <c r="I1620">
        <v>52.1732218</v>
      </c>
      <c r="J1620" t="s">
        <v>536</v>
      </c>
      <c r="K1620" t="s">
        <v>262</v>
      </c>
      <c r="L1620" t="s">
        <v>220</v>
      </c>
      <c r="M1620" t="s">
        <v>6</v>
      </c>
    </row>
    <row r="1621" spans="1:13" x14ac:dyDescent="0.25">
      <c r="A1621" s="3" t="s">
        <v>221</v>
      </c>
      <c r="B1621" s="4">
        <v>1</v>
      </c>
      <c r="C1621" s="4"/>
      <c r="D1621" s="4" t="s">
        <v>222</v>
      </c>
      <c r="E1621" s="4" t="s">
        <v>6</v>
      </c>
      <c r="F1621">
        <f>COUNTIFS($D$2:D1621,D1621)</f>
        <v>1</v>
      </c>
      <c r="G1621" t="str">
        <f t="shared" si="25"/>
        <v>3871V</v>
      </c>
      <c r="H1621">
        <v>5.4654119999999997</v>
      </c>
      <c r="I1621">
        <v>52.172942300000003</v>
      </c>
      <c r="J1621" t="s">
        <v>537</v>
      </c>
      <c r="K1621" t="s">
        <v>355</v>
      </c>
      <c r="L1621" t="s">
        <v>222</v>
      </c>
      <c r="M1621" t="s">
        <v>6</v>
      </c>
    </row>
    <row r="1622" spans="1:13" x14ac:dyDescent="0.25">
      <c r="A1622" s="3" t="s">
        <v>221</v>
      </c>
      <c r="B1622" s="4">
        <v>3</v>
      </c>
      <c r="C1622" s="4"/>
      <c r="D1622" s="4" t="s">
        <v>222</v>
      </c>
      <c r="E1622" s="4" t="s">
        <v>6</v>
      </c>
      <c r="F1622">
        <f>COUNTIFS($D$2:D1622,D1622)</f>
        <v>2</v>
      </c>
      <c r="G1622" t="str">
        <f t="shared" si="25"/>
        <v>3871V</v>
      </c>
      <c r="H1622">
        <v>5.4653114</v>
      </c>
      <c r="I1622">
        <v>52.172928499999998</v>
      </c>
      <c r="J1622" t="s">
        <v>537</v>
      </c>
      <c r="K1622" t="s">
        <v>356</v>
      </c>
      <c r="L1622" t="s">
        <v>222</v>
      </c>
      <c r="M1622" t="s">
        <v>6</v>
      </c>
    </row>
    <row r="1623" spans="1:13" x14ac:dyDescent="0.25">
      <c r="A1623" s="3" t="s">
        <v>221</v>
      </c>
      <c r="B1623" s="4">
        <v>5</v>
      </c>
      <c r="C1623" s="4"/>
      <c r="D1623" s="4" t="s">
        <v>222</v>
      </c>
      <c r="E1623" s="4" t="s">
        <v>6</v>
      </c>
      <c r="F1623">
        <f>COUNTIFS($D$2:D1623,D1623)</f>
        <v>3</v>
      </c>
      <c r="G1623" t="str">
        <f t="shared" si="25"/>
        <v>3871V</v>
      </c>
      <c r="H1623">
        <v>5.4652035000000003</v>
      </c>
      <c r="I1623">
        <v>52.172910000000002</v>
      </c>
      <c r="J1623" t="s">
        <v>537</v>
      </c>
      <c r="K1623" t="s">
        <v>357</v>
      </c>
      <c r="L1623" t="s">
        <v>222</v>
      </c>
      <c r="M1623" t="s">
        <v>6</v>
      </c>
    </row>
    <row r="1624" spans="1:13" x14ac:dyDescent="0.25">
      <c r="A1624" s="3" t="s">
        <v>221</v>
      </c>
      <c r="B1624" s="4">
        <v>7</v>
      </c>
      <c r="C1624" s="4"/>
      <c r="D1624" s="4" t="s">
        <v>222</v>
      </c>
      <c r="E1624" s="4" t="s">
        <v>6</v>
      </c>
      <c r="F1624">
        <f>COUNTIFS($D$2:D1624,D1624)</f>
        <v>4</v>
      </c>
      <c r="G1624" t="str">
        <f t="shared" si="25"/>
        <v>3871V</v>
      </c>
      <c r="H1624">
        <v>5.4650990000000004</v>
      </c>
      <c r="I1624">
        <v>52.172894300000003</v>
      </c>
      <c r="J1624" t="s">
        <v>537</v>
      </c>
      <c r="K1624" t="s">
        <v>358</v>
      </c>
      <c r="L1624" t="s">
        <v>222</v>
      </c>
      <c r="M1624" t="s">
        <v>6</v>
      </c>
    </row>
    <row r="1625" spans="1:13" x14ac:dyDescent="0.25">
      <c r="A1625" s="3" t="s">
        <v>221</v>
      </c>
      <c r="B1625" s="4">
        <v>9</v>
      </c>
      <c r="C1625" s="4"/>
      <c r="D1625" s="4" t="s">
        <v>222</v>
      </c>
      <c r="E1625" s="4" t="s">
        <v>6</v>
      </c>
      <c r="F1625">
        <f>COUNTIFS($D$2:D1625,D1625)</f>
        <v>5</v>
      </c>
      <c r="G1625" t="str">
        <f t="shared" si="25"/>
        <v>3871V</v>
      </c>
      <c r="H1625">
        <v>5.4649001999999998</v>
      </c>
      <c r="I1625">
        <v>52.1728618</v>
      </c>
      <c r="J1625" t="s">
        <v>537</v>
      </c>
      <c r="K1625" t="s">
        <v>382</v>
      </c>
      <c r="L1625" t="s">
        <v>222</v>
      </c>
      <c r="M1625" t="s">
        <v>6</v>
      </c>
    </row>
    <row r="1626" spans="1:13" x14ac:dyDescent="0.25">
      <c r="A1626" s="3" t="s">
        <v>221</v>
      </c>
      <c r="B1626" s="4">
        <v>13</v>
      </c>
      <c r="C1626" s="4"/>
      <c r="D1626" s="4" t="s">
        <v>222</v>
      </c>
      <c r="E1626" s="4" t="s">
        <v>6</v>
      </c>
      <c r="F1626">
        <f>COUNTIFS($D$2:D1626,D1626)</f>
        <v>6</v>
      </c>
      <c r="G1626" t="str">
        <f t="shared" si="25"/>
        <v>3871V</v>
      </c>
      <c r="H1626">
        <v>5.4647240000000004</v>
      </c>
      <c r="I1626">
        <v>52.1728606</v>
      </c>
      <c r="J1626" t="s">
        <v>537</v>
      </c>
      <c r="K1626" t="s">
        <v>359</v>
      </c>
      <c r="L1626" t="s">
        <v>222</v>
      </c>
      <c r="M1626" t="s">
        <v>6</v>
      </c>
    </row>
    <row r="1627" spans="1:13" x14ac:dyDescent="0.25">
      <c r="A1627" s="3" t="s">
        <v>221</v>
      </c>
      <c r="B1627" s="4">
        <v>15</v>
      </c>
      <c r="C1627" s="4"/>
      <c r="D1627" s="4" t="s">
        <v>222</v>
      </c>
      <c r="E1627" s="4" t="s">
        <v>6</v>
      </c>
      <c r="F1627">
        <f>COUNTIFS($D$2:D1627,D1627)</f>
        <v>7</v>
      </c>
      <c r="G1627" t="str">
        <f t="shared" si="25"/>
        <v>3871V</v>
      </c>
      <c r="H1627">
        <v>5.4646078999999999</v>
      </c>
      <c r="I1627">
        <v>52.172862000000002</v>
      </c>
      <c r="J1627" t="s">
        <v>537</v>
      </c>
      <c r="K1627" t="s">
        <v>383</v>
      </c>
      <c r="L1627" t="s">
        <v>222</v>
      </c>
      <c r="M1627" t="s">
        <v>6</v>
      </c>
    </row>
    <row r="1628" spans="1:13" x14ac:dyDescent="0.25">
      <c r="A1628" s="3" t="s">
        <v>221</v>
      </c>
      <c r="B1628" s="4">
        <v>17</v>
      </c>
      <c r="C1628" s="4"/>
      <c r="D1628" s="4" t="s">
        <v>222</v>
      </c>
      <c r="E1628" s="4" t="s">
        <v>6</v>
      </c>
      <c r="F1628">
        <f>COUNTIFS($D$2:D1628,D1628)</f>
        <v>8</v>
      </c>
      <c r="G1628" t="str">
        <f t="shared" si="25"/>
        <v>3871V</v>
      </c>
      <c r="H1628">
        <v>5.4644176</v>
      </c>
      <c r="I1628">
        <v>52.172709300000001</v>
      </c>
      <c r="J1628" t="s">
        <v>537</v>
      </c>
      <c r="K1628" t="s">
        <v>360</v>
      </c>
      <c r="L1628" t="s">
        <v>222</v>
      </c>
      <c r="M1628" t="s">
        <v>6</v>
      </c>
    </row>
    <row r="1629" spans="1:13" x14ac:dyDescent="0.25">
      <c r="A1629" s="3" t="s">
        <v>221</v>
      </c>
      <c r="B1629" s="4">
        <v>19</v>
      </c>
      <c r="C1629" s="4"/>
      <c r="D1629" s="4" t="s">
        <v>222</v>
      </c>
      <c r="E1629" s="4" t="s">
        <v>6</v>
      </c>
      <c r="F1629">
        <f>COUNTIFS($D$2:D1629,D1629)</f>
        <v>9</v>
      </c>
      <c r="G1629" t="str">
        <f t="shared" si="25"/>
        <v>3871V</v>
      </c>
      <c r="H1629">
        <v>5.4644174999999997</v>
      </c>
      <c r="I1629">
        <v>52.172637399999999</v>
      </c>
      <c r="J1629" t="s">
        <v>537</v>
      </c>
      <c r="K1629" t="s">
        <v>361</v>
      </c>
      <c r="L1629" t="s">
        <v>222</v>
      </c>
      <c r="M1629" t="s">
        <v>6</v>
      </c>
    </row>
    <row r="1630" spans="1:13" x14ac:dyDescent="0.25">
      <c r="A1630" s="3" t="s">
        <v>221</v>
      </c>
      <c r="B1630" s="4">
        <v>21</v>
      </c>
      <c r="C1630" s="4"/>
      <c r="D1630" s="4" t="s">
        <v>222</v>
      </c>
      <c r="E1630" s="4" t="s">
        <v>6</v>
      </c>
      <c r="F1630">
        <f>COUNTIFS($D$2:D1630,D1630)</f>
        <v>10</v>
      </c>
      <c r="G1630" t="str">
        <f t="shared" si="25"/>
        <v>3871V</v>
      </c>
      <c r="H1630">
        <v>5.4644465999999996</v>
      </c>
      <c r="I1630">
        <v>52.172592399999999</v>
      </c>
      <c r="J1630" t="s">
        <v>537</v>
      </c>
      <c r="K1630" t="s">
        <v>362</v>
      </c>
      <c r="L1630" t="s">
        <v>222</v>
      </c>
      <c r="M1630" t="s">
        <v>6</v>
      </c>
    </row>
    <row r="1631" spans="1:13" x14ac:dyDescent="0.25">
      <c r="A1631" s="3" t="s">
        <v>221</v>
      </c>
      <c r="B1631" s="4">
        <v>23</v>
      </c>
      <c r="C1631" s="4"/>
      <c r="D1631" s="4" t="s">
        <v>222</v>
      </c>
      <c r="E1631" s="4" t="s">
        <v>6</v>
      </c>
      <c r="F1631">
        <f>COUNTIFS($D$2:D1631,D1631)</f>
        <v>11</v>
      </c>
      <c r="G1631" t="str">
        <f t="shared" si="25"/>
        <v>3871V</v>
      </c>
      <c r="H1631">
        <v>5.4644465000000002</v>
      </c>
      <c r="I1631">
        <v>52.172538500000002</v>
      </c>
      <c r="J1631" t="s">
        <v>537</v>
      </c>
      <c r="K1631" t="s">
        <v>384</v>
      </c>
      <c r="L1631" t="s">
        <v>222</v>
      </c>
      <c r="M1631" t="s">
        <v>6</v>
      </c>
    </row>
    <row r="1632" spans="1:13" x14ac:dyDescent="0.25">
      <c r="A1632" s="3" t="s">
        <v>221</v>
      </c>
      <c r="B1632" s="4">
        <v>25</v>
      </c>
      <c r="C1632" s="4"/>
      <c r="D1632" s="4" t="s">
        <v>222</v>
      </c>
      <c r="E1632" s="4" t="s">
        <v>6</v>
      </c>
      <c r="F1632">
        <f>COUNTIFS($D$2:D1632,D1632)</f>
        <v>12</v>
      </c>
      <c r="G1632" t="str">
        <f t="shared" si="25"/>
        <v>3871V</v>
      </c>
      <c r="H1632">
        <v>5.4644463999999999</v>
      </c>
      <c r="I1632">
        <v>52.172493600000003</v>
      </c>
      <c r="J1632" t="s">
        <v>537</v>
      </c>
      <c r="K1632" t="s">
        <v>385</v>
      </c>
      <c r="L1632" t="s">
        <v>222</v>
      </c>
      <c r="M1632" t="s">
        <v>6</v>
      </c>
    </row>
    <row r="1633" spans="1:13" x14ac:dyDescent="0.25">
      <c r="A1633" s="3" t="s">
        <v>223</v>
      </c>
      <c r="B1633" s="4">
        <v>2</v>
      </c>
      <c r="C1633" s="4"/>
      <c r="D1633" s="4" t="s">
        <v>222</v>
      </c>
      <c r="E1633" s="4" t="s">
        <v>6</v>
      </c>
      <c r="F1633">
        <f>COUNTIFS($D$2:D1633,D1633)</f>
        <v>13</v>
      </c>
      <c r="G1633" t="str">
        <f t="shared" si="25"/>
        <v>3871V</v>
      </c>
      <c r="H1633">
        <v>5.4652383999999996</v>
      </c>
      <c r="I1633">
        <v>52.173208500000001</v>
      </c>
      <c r="J1633" t="s">
        <v>538</v>
      </c>
      <c r="K1633" t="s">
        <v>370</v>
      </c>
      <c r="L1633" t="s">
        <v>222</v>
      </c>
      <c r="M1633" t="s">
        <v>6</v>
      </c>
    </row>
    <row r="1634" spans="1:13" x14ac:dyDescent="0.25">
      <c r="A1634" s="3" t="s">
        <v>223</v>
      </c>
      <c r="B1634" s="4">
        <v>4</v>
      </c>
      <c r="C1634" s="4"/>
      <c r="D1634" s="4" t="s">
        <v>222</v>
      </c>
      <c r="E1634" s="4" t="s">
        <v>6</v>
      </c>
      <c r="F1634">
        <f>COUNTIFS($D$2:D1634,D1634)</f>
        <v>14</v>
      </c>
      <c r="G1634" t="str">
        <f t="shared" si="25"/>
        <v>3871V</v>
      </c>
      <c r="H1634">
        <v>5.4651607000000002</v>
      </c>
      <c r="I1634">
        <v>52.173197999999999</v>
      </c>
      <c r="J1634" t="s">
        <v>538</v>
      </c>
      <c r="K1634" t="s">
        <v>260</v>
      </c>
      <c r="L1634" t="s">
        <v>222</v>
      </c>
      <c r="M1634" t="s">
        <v>6</v>
      </c>
    </row>
    <row r="1635" spans="1:13" x14ac:dyDescent="0.25">
      <c r="A1635" s="3" t="s">
        <v>223</v>
      </c>
      <c r="B1635" s="4">
        <v>6</v>
      </c>
      <c r="C1635" s="4"/>
      <c r="D1635" s="4" t="s">
        <v>222</v>
      </c>
      <c r="E1635" s="4" t="s">
        <v>6</v>
      </c>
      <c r="F1635">
        <f>COUNTIFS($D$2:D1635,D1635)</f>
        <v>15</v>
      </c>
      <c r="G1635" t="str">
        <f t="shared" si="25"/>
        <v>3871V</v>
      </c>
      <c r="H1635">
        <v>5.4650672</v>
      </c>
      <c r="I1635">
        <v>52.173184599999999</v>
      </c>
      <c r="J1635" t="s">
        <v>538</v>
      </c>
      <c r="K1635" t="s">
        <v>262</v>
      </c>
      <c r="L1635" t="s">
        <v>222</v>
      </c>
      <c r="M1635" t="s">
        <v>6</v>
      </c>
    </row>
    <row r="1636" spans="1:13" x14ac:dyDescent="0.25">
      <c r="A1636" s="3" t="s">
        <v>223</v>
      </c>
      <c r="B1636" s="4">
        <v>8</v>
      </c>
      <c r="C1636" s="4"/>
      <c r="D1636" s="4" t="s">
        <v>222</v>
      </c>
      <c r="E1636" s="4" t="s">
        <v>6</v>
      </c>
      <c r="F1636">
        <f>COUNTIFS($D$2:D1636,D1636)</f>
        <v>16</v>
      </c>
      <c r="G1636" t="str">
        <f t="shared" si="25"/>
        <v>3871V</v>
      </c>
      <c r="H1636">
        <v>5.4649571999999997</v>
      </c>
      <c r="I1636">
        <v>52.173171600000003</v>
      </c>
      <c r="J1636" t="s">
        <v>538</v>
      </c>
      <c r="K1636" t="s">
        <v>263</v>
      </c>
      <c r="L1636" t="s">
        <v>222</v>
      </c>
      <c r="M1636" t="s">
        <v>6</v>
      </c>
    </row>
    <row r="1637" spans="1:13" x14ac:dyDescent="0.25">
      <c r="A1637" s="3" t="s">
        <v>223</v>
      </c>
      <c r="B1637" s="4">
        <v>10</v>
      </c>
      <c r="C1637" s="4"/>
      <c r="D1637" s="4" t="s">
        <v>222</v>
      </c>
      <c r="E1637" s="4" t="s">
        <v>6</v>
      </c>
      <c r="F1637">
        <f>COUNTIFS($D$2:D1637,D1637)</f>
        <v>17</v>
      </c>
      <c r="G1637" t="str">
        <f t="shared" si="25"/>
        <v>3871V</v>
      </c>
      <c r="H1637">
        <v>5.4646195999999998</v>
      </c>
      <c r="I1637">
        <v>52.1731464</v>
      </c>
      <c r="J1637" t="s">
        <v>538</v>
      </c>
      <c r="K1637" t="s">
        <v>264</v>
      </c>
      <c r="L1637" t="s">
        <v>222</v>
      </c>
      <c r="M1637" t="s">
        <v>6</v>
      </c>
    </row>
    <row r="1638" spans="1:13" x14ac:dyDescent="0.25">
      <c r="A1638" s="3" t="s">
        <v>223</v>
      </c>
      <c r="B1638" s="4">
        <v>12</v>
      </c>
      <c r="C1638" s="4"/>
      <c r="D1638" s="4" t="s">
        <v>222</v>
      </c>
      <c r="E1638" s="4" t="s">
        <v>6</v>
      </c>
      <c r="F1638">
        <f>COUNTIFS($D$2:D1638,D1638)</f>
        <v>18</v>
      </c>
      <c r="G1638" t="str">
        <f t="shared" si="25"/>
        <v>3871V</v>
      </c>
      <c r="H1638">
        <v>5.4645209000000001</v>
      </c>
      <c r="I1638">
        <v>52.1731251</v>
      </c>
      <c r="J1638" t="s">
        <v>538</v>
      </c>
      <c r="K1638" t="s">
        <v>265</v>
      </c>
      <c r="L1638" t="s">
        <v>222</v>
      </c>
      <c r="M1638" t="s">
        <v>6</v>
      </c>
    </row>
    <row r="1639" spans="1:13" x14ac:dyDescent="0.25">
      <c r="A1639" s="3" t="s">
        <v>223</v>
      </c>
      <c r="B1639" s="4">
        <v>14</v>
      </c>
      <c r="C1639" s="4"/>
      <c r="D1639" s="4" t="s">
        <v>222</v>
      </c>
      <c r="E1639" s="4" t="s">
        <v>6</v>
      </c>
      <c r="F1639">
        <f>COUNTIFS($D$2:D1639,D1639)</f>
        <v>19</v>
      </c>
      <c r="G1639" t="str">
        <f t="shared" si="25"/>
        <v>3871V</v>
      </c>
      <c r="H1639">
        <v>5.464448</v>
      </c>
      <c r="I1639">
        <v>52.173105</v>
      </c>
      <c r="J1639" t="s">
        <v>538</v>
      </c>
      <c r="K1639" t="s">
        <v>266</v>
      </c>
      <c r="L1639" t="s">
        <v>222</v>
      </c>
      <c r="M1639" t="s">
        <v>6</v>
      </c>
    </row>
    <row r="1640" spans="1:13" x14ac:dyDescent="0.25">
      <c r="A1640" s="3" t="s">
        <v>223</v>
      </c>
      <c r="B1640" s="4">
        <v>16</v>
      </c>
      <c r="C1640" s="4"/>
      <c r="D1640" s="4" t="s">
        <v>222</v>
      </c>
      <c r="E1640" s="4" t="s">
        <v>6</v>
      </c>
      <c r="F1640">
        <f>COUNTIFS($D$2:D1640,D1640)</f>
        <v>20</v>
      </c>
      <c r="G1640" t="str">
        <f t="shared" si="25"/>
        <v>3871V</v>
      </c>
      <c r="H1640">
        <v>5.4643281999999997</v>
      </c>
      <c r="I1640">
        <v>52.173089500000003</v>
      </c>
      <c r="J1640" t="s">
        <v>538</v>
      </c>
      <c r="K1640" t="s">
        <v>371</v>
      </c>
      <c r="L1640" t="s">
        <v>222</v>
      </c>
      <c r="M1640" t="s">
        <v>6</v>
      </c>
    </row>
    <row r="1641" spans="1:13" x14ac:dyDescent="0.25">
      <c r="A1641" s="3" t="s">
        <v>223</v>
      </c>
      <c r="B1641" s="4">
        <v>18</v>
      </c>
      <c r="C1641" s="4"/>
      <c r="D1641" s="4" t="s">
        <v>222</v>
      </c>
      <c r="E1641" s="4" t="s">
        <v>6</v>
      </c>
      <c r="F1641">
        <f>COUNTIFS($D$2:D1641,D1641)</f>
        <v>21</v>
      </c>
      <c r="G1641" t="str">
        <f t="shared" si="25"/>
        <v>3871V</v>
      </c>
      <c r="H1641">
        <v>5.4639796</v>
      </c>
      <c r="I1641">
        <v>52.173051100000002</v>
      </c>
      <c r="J1641" t="s">
        <v>538</v>
      </c>
      <c r="K1641" t="s">
        <v>267</v>
      </c>
      <c r="L1641" t="s">
        <v>222</v>
      </c>
      <c r="M1641" t="s">
        <v>6</v>
      </c>
    </row>
    <row r="1642" spans="1:13" x14ac:dyDescent="0.25">
      <c r="A1642" s="3" t="s">
        <v>223</v>
      </c>
      <c r="B1642" s="4">
        <v>20</v>
      </c>
      <c r="C1642" s="4"/>
      <c r="D1642" s="4" t="s">
        <v>222</v>
      </c>
      <c r="E1642" s="4" t="s">
        <v>6</v>
      </c>
      <c r="F1642">
        <f>COUNTIFS($D$2:D1642,D1642)</f>
        <v>22</v>
      </c>
      <c r="G1642" t="str">
        <f t="shared" si="25"/>
        <v>3871V</v>
      </c>
      <c r="H1642">
        <v>5.4638919000000001</v>
      </c>
      <c r="I1642">
        <v>52.173051200000003</v>
      </c>
      <c r="J1642" t="s">
        <v>538</v>
      </c>
      <c r="K1642" t="s">
        <v>372</v>
      </c>
      <c r="L1642" t="s">
        <v>222</v>
      </c>
      <c r="M1642" t="s">
        <v>6</v>
      </c>
    </row>
    <row r="1643" spans="1:13" x14ac:dyDescent="0.25">
      <c r="A1643" s="3" t="s">
        <v>223</v>
      </c>
      <c r="B1643" s="4">
        <v>22</v>
      </c>
      <c r="C1643" s="4"/>
      <c r="D1643" s="4" t="s">
        <v>222</v>
      </c>
      <c r="E1643" s="4" t="s">
        <v>6</v>
      </c>
      <c r="F1643">
        <f>COUNTIFS($D$2:D1643,D1643)</f>
        <v>23</v>
      </c>
      <c r="G1643" t="str">
        <f t="shared" si="25"/>
        <v>3871V</v>
      </c>
      <c r="H1643">
        <v>5.4638042000000002</v>
      </c>
      <c r="I1643">
        <v>52.173051299999997</v>
      </c>
      <c r="J1643" t="s">
        <v>538</v>
      </c>
      <c r="K1643" t="s">
        <v>269</v>
      </c>
      <c r="L1643" t="s">
        <v>222</v>
      </c>
      <c r="M1643" t="s">
        <v>6</v>
      </c>
    </row>
    <row r="1644" spans="1:13" x14ac:dyDescent="0.25">
      <c r="A1644" s="3" t="s">
        <v>223</v>
      </c>
      <c r="B1644" s="4">
        <v>24</v>
      </c>
      <c r="C1644" s="4"/>
      <c r="D1644" s="4" t="s">
        <v>222</v>
      </c>
      <c r="E1644" s="4" t="s">
        <v>6</v>
      </c>
      <c r="F1644">
        <f>COUNTIFS($D$2:D1644,D1644)</f>
        <v>24</v>
      </c>
      <c r="G1644" t="str">
        <f t="shared" si="25"/>
        <v>3871V</v>
      </c>
      <c r="H1644">
        <v>5.4637165000000003</v>
      </c>
      <c r="I1644">
        <v>52.173051299999997</v>
      </c>
      <c r="J1644" t="s">
        <v>538</v>
      </c>
      <c r="K1644" t="s">
        <v>270</v>
      </c>
      <c r="L1644" t="s">
        <v>222</v>
      </c>
      <c r="M1644" t="s">
        <v>6</v>
      </c>
    </row>
    <row r="1645" spans="1:13" x14ac:dyDescent="0.25">
      <c r="A1645" s="3" t="s">
        <v>223</v>
      </c>
      <c r="B1645" s="4">
        <v>26</v>
      </c>
      <c r="C1645" s="4"/>
      <c r="D1645" s="4" t="s">
        <v>222</v>
      </c>
      <c r="E1645" s="4" t="s">
        <v>6</v>
      </c>
      <c r="F1645">
        <f>COUNTIFS($D$2:D1645,D1645)</f>
        <v>25</v>
      </c>
      <c r="G1645" t="str">
        <f t="shared" si="25"/>
        <v>3871V</v>
      </c>
      <c r="H1645">
        <v>5.4637250999999996</v>
      </c>
      <c r="I1645">
        <v>52.1727852</v>
      </c>
      <c r="J1645" t="s">
        <v>538</v>
      </c>
      <c r="K1645" t="s">
        <v>271</v>
      </c>
      <c r="L1645" t="s">
        <v>222</v>
      </c>
      <c r="M1645" t="s">
        <v>6</v>
      </c>
    </row>
    <row r="1646" spans="1:13" x14ac:dyDescent="0.25">
      <c r="A1646" s="3" t="s">
        <v>223</v>
      </c>
      <c r="B1646" s="4">
        <v>28</v>
      </c>
      <c r="C1646" s="4"/>
      <c r="D1646" s="4" t="s">
        <v>222</v>
      </c>
      <c r="E1646" s="4" t="s">
        <v>6</v>
      </c>
      <c r="F1646">
        <f>COUNTIFS($D$2:D1646,D1646)</f>
        <v>26</v>
      </c>
      <c r="G1646" t="str">
        <f t="shared" si="25"/>
        <v>3871V</v>
      </c>
      <c r="H1646">
        <v>5.4638213999999996</v>
      </c>
      <c r="I1646">
        <v>52.172772299999998</v>
      </c>
      <c r="J1646" t="s">
        <v>538</v>
      </c>
      <c r="K1646" t="s">
        <v>272</v>
      </c>
      <c r="L1646" t="s">
        <v>222</v>
      </c>
      <c r="M1646" t="s">
        <v>6</v>
      </c>
    </row>
    <row r="1647" spans="1:13" x14ac:dyDescent="0.25">
      <c r="A1647" s="3" t="s">
        <v>223</v>
      </c>
      <c r="B1647" s="4">
        <v>30</v>
      </c>
      <c r="C1647" s="4"/>
      <c r="D1647" s="4" t="s">
        <v>222</v>
      </c>
      <c r="E1647" s="4" t="s">
        <v>6</v>
      </c>
      <c r="F1647">
        <f>COUNTIFS($D$2:D1647,D1647)</f>
        <v>27</v>
      </c>
      <c r="G1647" t="str">
        <f t="shared" si="25"/>
        <v>3871V</v>
      </c>
      <c r="H1647">
        <v>5.4639220999999996</v>
      </c>
      <c r="I1647">
        <v>52.172760799999999</v>
      </c>
      <c r="J1647" t="s">
        <v>538</v>
      </c>
      <c r="K1647" t="s">
        <v>373</v>
      </c>
      <c r="L1647" t="s">
        <v>222</v>
      </c>
      <c r="M1647" t="s">
        <v>6</v>
      </c>
    </row>
    <row r="1648" spans="1:13" x14ac:dyDescent="0.25">
      <c r="A1648" s="3" t="s">
        <v>223</v>
      </c>
      <c r="B1648" s="4">
        <v>32</v>
      </c>
      <c r="C1648" s="4"/>
      <c r="D1648" s="4" t="s">
        <v>222</v>
      </c>
      <c r="E1648" s="4" t="s">
        <v>6</v>
      </c>
      <c r="F1648">
        <f>COUNTIFS($D$2:D1648,D1648)</f>
        <v>28</v>
      </c>
      <c r="G1648" t="str">
        <f t="shared" si="25"/>
        <v>3871V</v>
      </c>
      <c r="H1648">
        <v>5.4640183999999996</v>
      </c>
      <c r="I1648">
        <v>52.172747999999999</v>
      </c>
      <c r="J1648" t="s">
        <v>538</v>
      </c>
      <c r="K1648" t="s">
        <v>273</v>
      </c>
      <c r="L1648" t="s">
        <v>222</v>
      </c>
      <c r="M1648" t="s">
        <v>6</v>
      </c>
    </row>
    <row r="1649" spans="1:13" x14ac:dyDescent="0.25">
      <c r="A1649" s="3" t="s">
        <v>224</v>
      </c>
      <c r="B1649" s="4">
        <v>1</v>
      </c>
      <c r="C1649" s="4"/>
      <c r="D1649" s="4" t="s">
        <v>225</v>
      </c>
      <c r="E1649" s="4" t="s">
        <v>6</v>
      </c>
      <c r="F1649">
        <f>COUNTIFS($D$2:D1649,D1649)</f>
        <v>1</v>
      </c>
      <c r="G1649" t="str">
        <f t="shared" si="25"/>
        <v>3871V</v>
      </c>
      <c r="H1649">
        <v>5.4647065000000001</v>
      </c>
      <c r="I1649">
        <v>52.173557199999998</v>
      </c>
      <c r="J1649" t="s">
        <v>539</v>
      </c>
      <c r="K1649" t="s">
        <v>355</v>
      </c>
      <c r="L1649" t="s">
        <v>225</v>
      </c>
      <c r="M1649" t="s">
        <v>6</v>
      </c>
    </row>
    <row r="1650" spans="1:13" x14ac:dyDescent="0.25">
      <c r="A1650" s="3" t="s">
        <v>224</v>
      </c>
      <c r="B1650" s="4">
        <v>2</v>
      </c>
      <c r="C1650" s="4"/>
      <c r="D1650" s="4" t="s">
        <v>225</v>
      </c>
      <c r="E1650" s="4" t="s">
        <v>6</v>
      </c>
      <c r="F1650">
        <f>COUNTIFS($D$2:D1650,D1650)</f>
        <v>2</v>
      </c>
      <c r="G1650" t="str">
        <f t="shared" si="25"/>
        <v>3871V</v>
      </c>
      <c r="H1650">
        <v>5.4647259999999998</v>
      </c>
      <c r="I1650">
        <v>52.173509000000003</v>
      </c>
      <c r="J1650" t="s">
        <v>539</v>
      </c>
      <c r="K1650" t="s">
        <v>370</v>
      </c>
      <c r="L1650" t="s">
        <v>225</v>
      </c>
      <c r="M1650" t="s">
        <v>6</v>
      </c>
    </row>
    <row r="1651" spans="1:13" x14ac:dyDescent="0.25">
      <c r="A1651" s="3" t="s">
        <v>224</v>
      </c>
      <c r="B1651" s="4">
        <v>3</v>
      </c>
      <c r="C1651" s="4"/>
      <c r="D1651" s="4" t="s">
        <v>225</v>
      </c>
      <c r="E1651" s="4" t="s">
        <v>6</v>
      </c>
      <c r="F1651">
        <f>COUNTIFS($D$2:D1651,D1651)</f>
        <v>3</v>
      </c>
      <c r="G1651" t="str">
        <f t="shared" si="25"/>
        <v>3871V</v>
      </c>
      <c r="H1651">
        <v>5.4647404999999996</v>
      </c>
      <c r="I1651">
        <v>52.1734461</v>
      </c>
      <c r="J1651" t="s">
        <v>539</v>
      </c>
      <c r="K1651" t="s">
        <v>356</v>
      </c>
      <c r="L1651" t="s">
        <v>225</v>
      </c>
      <c r="M1651" t="s">
        <v>6</v>
      </c>
    </row>
    <row r="1652" spans="1:13" x14ac:dyDescent="0.25">
      <c r="A1652" s="3" t="s">
        <v>224</v>
      </c>
      <c r="B1652" s="4">
        <v>4</v>
      </c>
      <c r="C1652" s="4"/>
      <c r="D1652" s="4" t="s">
        <v>225</v>
      </c>
      <c r="E1652" s="4" t="s">
        <v>6</v>
      </c>
      <c r="F1652">
        <f>COUNTIFS($D$2:D1652,D1652)</f>
        <v>4</v>
      </c>
      <c r="G1652" t="str">
        <f t="shared" si="25"/>
        <v>3871V</v>
      </c>
      <c r="H1652">
        <v>5.4647404000000002</v>
      </c>
      <c r="I1652">
        <v>52.173392200000002</v>
      </c>
      <c r="J1652" t="s">
        <v>539</v>
      </c>
      <c r="K1652" t="s">
        <v>260</v>
      </c>
      <c r="L1652" t="s">
        <v>225</v>
      </c>
      <c r="M1652" t="s">
        <v>6</v>
      </c>
    </row>
    <row r="1653" spans="1:13" x14ac:dyDescent="0.25">
      <c r="A1653" s="3" t="s">
        <v>224</v>
      </c>
      <c r="B1653" s="4">
        <v>5</v>
      </c>
      <c r="C1653" s="4"/>
      <c r="D1653" s="4" t="s">
        <v>225</v>
      </c>
      <c r="E1653" s="4" t="s">
        <v>6</v>
      </c>
      <c r="F1653">
        <f>COUNTIFS($D$2:D1653,D1653)</f>
        <v>5</v>
      </c>
      <c r="G1653" t="str">
        <f t="shared" si="25"/>
        <v>3871V</v>
      </c>
      <c r="H1653">
        <v>5.4647402999999999</v>
      </c>
      <c r="I1653">
        <v>52.173338299999998</v>
      </c>
      <c r="J1653" t="s">
        <v>539</v>
      </c>
      <c r="K1653" t="s">
        <v>357</v>
      </c>
      <c r="L1653" t="s">
        <v>225</v>
      </c>
      <c r="M1653" t="s">
        <v>6</v>
      </c>
    </row>
    <row r="1654" spans="1:13" x14ac:dyDescent="0.25">
      <c r="A1654" s="3" t="s">
        <v>224</v>
      </c>
      <c r="B1654" s="4">
        <v>6</v>
      </c>
      <c r="C1654" s="4"/>
      <c r="D1654" s="4" t="s">
        <v>225</v>
      </c>
      <c r="E1654" s="4" t="s">
        <v>6</v>
      </c>
      <c r="F1654">
        <f>COUNTIFS($D$2:D1654,D1654)</f>
        <v>6</v>
      </c>
      <c r="G1654" t="str">
        <f t="shared" si="25"/>
        <v>3871V</v>
      </c>
      <c r="H1654">
        <v>5.4647359</v>
      </c>
      <c r="I1654">
        <v>52.173291399999997</v>
      </c>
      <c r="J1654" t="s">
        <v>539</v>
      </c>
      <c r="K1654" t="s">
        <v>262</v>
      </c>
      <c r="L1654" t="s">
        <v>225</v>
      </c>
      <c r="M1654" t="s">
        <v>6</v>
      </c>
    </row>
    <row r="1655" spans="1:13" x14ac:dyDescent="0.25">
      <c r="A1655" s="3" t="s">
        <v>226</v>
      </c>
      <c r="B1655" s="4">
        <v>1</v>
      </c>
      <c r="C1655" s="4" t="s">
        <v>8</v>
      </c>
      <c r="D1655" s="4" t="s">
        <v>227</v>
      </c>
      <c r="E1655" s="4" t="s">
        <v>6</v>
      </c>
      <c r="F1655">
        <f>COUNTIFS($D$2:D1655,D1655)</f>
        <v>1</v>
      </c>
      <c r="G1655" t="str">
        <f t="shared" si="25"/>
        <v>3871V</v>
      </c>
      <c r="H1655">
        <v>5.4656057000000002</v>
      </c>
      <c r="I1655">
        <v>52.174991499999997</v>
      </c>
      <c r="J1655" t="s">
        <v>540</v>
      </c>
      <c r="K1655" t="s">
        <v>400</v>
      </c>
      <c r="L1655" t="s">
        <v>227</v>
      </c>
      <c r="M1655" t="s">
        <v>6</v>
      </c>
    </row>
    <row r="1656" spans="1:13" x14ac:dyDescent="0.25">
      <c r="A1656" s="3" t="s">
        <v>226</v>
      </c>
      <c r="B1656" s="4">
        <v>1</v>
      </c>
      <c r="C1656" s="4"/>
      <c r="D1656" s="4" t="s">
        <v>227</v>
      </c>
      <c r="E1656" s="4" t="s">
        <v>6</v>
      </c>
      <c r="F1656">
        <f>COUNTIFS($D$2:D1656,D1656)</f>
        <v>2</v>
      </c>
      <c r="G1656" t="str">
        <f t="shared" si="25"/>
        <v>3871V</v>
      </c>
      <c r="H1656">
        <v>5.4656785000000001</v>
      </c>
      <c r="I1656">
        <v>52.174838600000001</v>
      </c>
      <c r="J1656" t="s">
        <v>540</v>
      </c>
      <c r="K1656" t="s">
        <v>355</v>
      </c>
      <c r="L1656" t="s">
        <v>227</v>
      </c>
      <c r="M1656" t="s">
        <v>6</v>
      </c>
    </row>
    <row r="1657" spans="1:13" x14ac:dyDescent="0.25">
      <c r="A1657" s="3" t="s">
        <v>226</v>
      </c>
      <c r="B1657" s="4">
        <v>17</v>
      </c>
      <c r="C1657" s="4"/>
      <c r="D1657" s="4" t="s">
        <v>227</v>
      </c>
      <c r="E1657" s="4" t="s">
        <v>6</v>
      </c>
      <c r="F1657">
        <f>COUNTIFS($D$2:D1657,D1657)</f>
        <v>3</v>
      </c>
      <c r="G1657" t="str">
        <f t="shared" si="25"/>
        <v>3871V</v>
      </c>
      <c r="H1657">
        <v>5.4657067000000001</v>
      </c>
      <c r="I1657">
        <v>52.174218400000001</v>
      </c>
      <c r="J1657" t="s">
        <v>540</v>
      </c>
      <c r="K1657" t="s">
        <v>360</v>
      </c>
      <c r="L1657" t="s">
        <v>227</v>
      </c>
      <c r="M1657" t="s">
        <v>6</v>
      </c>
    </row>
    <row r="1658" spans="1:13" x14ac:dyDescent="0.25">
      <c r="A1658" s="3" t="s">
        <v>226</v>
      </c>
      <c r="B1658" s="4">
        <v>21</v>
      </c>
      <c r="C1658" s="4"/>
      <c r="D1658" s="4" t="s">
        <v>227</v>
      </c>
      <c r="E1658" s="4" t="s">
        <v>6</v>
      </c>
      <c r="F1658">
        <f>COUNTIFS($D$2:D1658,D1658)</f>
        <v>4</v>
      </c>
      <c r="G1658" t="str">
        <f t="shared" si="25"/>
        <v>3871V</v>
      </c>
      <c r="H1658">
        <v>5.4658229</v>
      </c>
      <c r="I1658">
        <v>52.173840900000002</v>
      </c>
      <c r="J1658" t="s">
        <v>540</v>
      </c>
      <c r="K1658" t="s">
        <v>362</v>
      </c>
      <c r="L1658" t="s">
        <v>227</v>
      </c>
      <c r="M1658" t="s">
        <v>6</v>
      </c>
    </row>
    <row r="1659" spans="1:13" x14ac:dyDescent="0.25">
      <c r="A1659" s="3" t="s">
        <v>226</v>
      </c>
      <c r="B1659" s="4">
        <v>23</v>
      </c>
      <c r="C1659" s="4"/>
      <c r="D1659" s="4" t="s">
        <v>227</v>
      </c>
      <c r="E1659" s="4" t="s">
        <v>6</v>
      </c>
      <c r="F1659">
        <f>COUNTIFS($D$2:D1659,D1659)</f>
        <v>5</v>
      </c>
      <c r="G1659" t="str">
        <f t="shared" si="25"/>
        <v>3871V</v>
      </c>
      <c r="H1659">
        <v>5.4658227999999998</v>
      </c>
      <c r="I1659">
        <v>52.173777899999997</v>
      </c>
      <c r="J1659" t="s">
        <v>540</v>
      </c>
      <c r="K1659" t="s">
        <v>384</v>
      </c>
      <c r="L1659" t="s">
        <v>227</v>
      </c>
      <c r="M1659" t="s">
        <v>6</v>
      </c>
    </row>
    <row r="1660" spans="1:13" x14ac:dyDescent="0.25">
      <c r="A1660" s="3" t="s">
        <v>226</v>
      </c>
      <c r="B1660" s="4">
        <v>25</v>
      </c>
      <c r="C1660" s="4"/>
      <c r="D1660" s="4" t="s">
        <v>227</v>
      </c>
      <c r="E1660" s="4" t="s">
        <v>6</v>
      </c>
      <c r="F1660">
        <f>COUNTIFS($D$2:D1660,D1660)</f>
        <v>6</v>
      </c>
      <c r="G1660" t="str">
        <f t="shared" si="25"/>
        <v>3871V</v>
      </c>
      <c r="H1660">
        <v>5.4658372999999996</v>
      </c>
      <c r="I1660">
        <v>52.173724</v>
      </c>
      <c r="J1660" t="s">
        <v>540</v>
      </c>
      <c r="K1660" t="s">
        <v>385</v>
      </c>
      <c r="L1660" t="s">
        <v>227</v>
      </c>
      <c r="M1660" t="s">
        <v>6</v>
      </c>
    </row>
    <row r="1661" spans="1:13" x14ac:dyDescent="0.25">
      <c r="A1661" s="3" t="s">
        <v>226</v>
      </c>
      <c r="B1661" s="4">
        <v>27</v>
      </c>
      <c r="C1661" s="4"/>
      <c r="D1661" s="4" t="s">
        <v>227</v>
      </c>
      <c r="E1661" s="4" t="s">
        <v>6</v>
      </c>
      <c r="F1661">
        <f>COUNTIFS($D$2:D1661,D1661)</f>
        <v>7</v>
      </c>
      <c r="G1661" t="str">
        <f t="shared" si="25"/>
        <v>3871V</v>
      </c>
      <c r="H1661">
        <v>5.4658372000000002</v>
      </c>
      <c r="I1661">
        <v>52.173661099999997</v>
      </c>
      <c r="J1661" t="s">
        <v>540</v>
      </c>
      <c r="K1661" t="s">
        <v>393</v>
      </c>
      <c r="L1661" t="s">
        <v>227</v>
      </c>
      <c r="M1661" t="s">
        <v>6</v>
      </c>
    </row>
    <row r="1662" spans="1:13" x14ac:dyDescent="0.25">
      <c r="A1662" s="3" t="s">
        <v>226</v>
      </c>
      <c r="B1662" s="4">
        <v>29</v>
      </c>
      <c r="C1662" s="4"/>
      <c r="D1662" s="4" t="s">
        <v>227</v>
      </c>
      <c r="E1662" s="4" t="s">
        <v>6</v>
      </c>
      <c r="F1662">
        <f>COUNTIFS($D$2:D1662,D1662)</f>
        <v>8</v>
      </c>
      <c r="G1662" t="str">
        <f t="shared" si="25"/>
        <v>3871V</v>
      </c>
      <c r="H1662">
        <v>5.4658518000000003</v>
      </c>
      <c r="I1662">
        <v>52.173607199999999</v>
      </c>
      <c r="J1662" t="s">
        <v>540</v>
      </c>
      <c r="K1662" t="s">
        <v>364</v>
      </c>
      <c r="L1662" t="s">
        <v>227</v>
      </c>
      <c r="M1662" t="s">
        <v>6</v>
      </c>
    </row>
    <row r="1663" spans="1:13" x14ac:dyDescent="0.25">
      <c r="A1663" s="3" t="s">
        <v>226</v>
      </c>
      <c r="B1663" s="4">
        <v>31</v>
      </c>
      <c r="C1663" s="4"/>
      <c r="D1663" s="4" t="s">
        <v>227</v>
      </c>
      <c r="E1663" s="4" t="s">
        <v>6</v>
      </c>
      <c r="F1663">
        <f>COUNTIFS($D$2:D1663,D1663)</f>
        <v>9</v>
      </c>
      <c r="G1663" t="str">
        <f t="shared" si="25"/>
        <v>3871V</v>
      </c>
      <c r="H1663">
        <v>5.4658369999999996</v>
      </c>
      <c r="I1663">
        <v>52.173553200000001</v>
      </c>
      <c r="J1663" t="s">
        <v>540</v>
      </c>
      <c r="K1663" t="s">
        <v>323</v>
      </c>
      <c r="L1663" t="s">
        <v>227</v>
      </c>
      <c r="M1663" t="s">
        <v>6</v>
      </c>
    </row>
    <row r="1664" spans="1:13" x14ac:dyDescent="0.25">
      <c r="A1664" s="3" t="s">
        <v>226</v>
      </c>
      <c r="B1664" s="4">
        <v>33</v>
      </c>
      <c r="C1664" s="4"/>
      <c r="D1664" s="4" t="s">
        <v>227</v>
      </c>
      <c r="E1664" s="4" t="s">
        <v>6</v>
      </c>
      <c r="F1664">
        <f>COUNTIFS($D$2:D1664,D1664)</f>
        <v>10</v>
      </c>
      <c r="G1664" t="str">
        <f t="shared" si="25"/>
        <v>3871V</v>
      </c>
      <c r="H1664">
        <v>5.4658515999999997</v>
      </c>
      <c r="I1664">
        <v>52.173499300000003</v>
      </c>
      <c r="J1664" t="s">
        <v>540</v>
      </c>
      <c r="K1664" t="s">
        <v>365</v>
      </c>
      <c r="L1664" t="s">
        <v>227</v>
      </c>
      <c r="M1664" t="s">
        <v>6</v>
      </c>
    </row>
    <row r="1665" spans="1:13" x14ac:dyDescent="0.25">
      <c r="A1665" s="3" t="s">
        <v>226</v>
      </c>
      <c r="B1665" s="4">
        <v>35</v>
      </c>
      <c r="C1665" s="4"/>
      <c r="D1665" s="4" t="s">
        <v>227</v>
      </c>
      <c r="E1665" s="4" t="s">
        <v>6</v>
      </c>
      <c r="F1665">
        <f>COUNTIFS($D$2:D1665,D1665)</f>
        <v>11</v>
      </c>
      <c r="G1665" t="str">
        <f t="shared" si="25"/>
        <v>3871V</v>
      </c>
      <c r="H1665">
        <v>5.4658515000000003</v>
      </c>
      <c r="I1665">
        <v>52.173445399999999</v>
      </c>
      <c r="J1665" t="s">
        <v>540</v>
      </c>
      <c r="K1665" t="s">
        <v>366</v>
      </c>
      <c r="L1665" t="s">
        <v>227</v>
      </c>
      <c r="M1665" t="s">
        <v>6</v>
      </c>
    </row>
    <row r="1666" spans="1:13" x14ac:dyDescent="0.25">
      <c r="A1666" s="3" t="s">
        <v>226</v>
      </c>
      <c r="B1666" s="4">
        <v>37</v>
      </c>
      <c r="C1666" s="4"/>
      <c r="D1666" s="4" t="s">
        <v>227</v>
      </c>
      <c r="E1666" s="4" t="s">
        <v>6</v>
      </c>
      <c r="F1666">
        <f>COUNTIFS($D$2:D1666,D1666)</f>
        <v>12</v>
      </c>
      <c r="G1666" t="str">
        <f t="shared" ref="G1666:G1729" si="26">LEFT(A1666,5)</f>
        <v>3871V</v>
      </c>
      <c r="H1666">
        <v>5.4658514</v>
      </c>
      <c r="I1666">
        <v>52.173382500000002</v>
      </c>
      <c r="J1666" t="s">
        <v>540</v>
      </c>
      <c r="K1666" t="s">
        <v>367</v>
      </c>
      <c r="L1666" t="s">
        <v>227</v>
      </c>
      <c r="M1666" t="s">
        <v>6</v>
      </c>
    </row>
    <row r="1667" spans="1:13" x14ac:dyDescent="0.25">
      <c r="A1667" s="3" t="s">
        <v>226</v>
      </c>
      <c r="B1667" s="4">
        <v>39</v>
      </c>
      <c r="C1667" s="4"/>
      <c r="D1667" s="4" t="s">
        <v>227</v>
      </c>
      <c r="E1667" s="4" t="s">
        <v>6</v>
      </c>
      <c r="F1667">
        <f>COUNTIFS($D$2:D1667,D1667)</f>
        <v>13</v>
      </c>
      <c r="G1667" t="str">
        <f t="shared" si="26"/>
        <v>3871V</v>
      </c>
      <c r="H1667">
        <v>5.4658512999999997</v>
      </c>
      <c r="I1667">
        <v>52.173328499999997</v>
      </c>
      <c r="J1667" t="s">
        <v>540</v>
      </c>
      <c r="K1667" t="s">
        <v>368</v>
      </c>
      <c r="L1667" t="s">
        <v>227</v>
      </c>
      <c r="M1667" t="s">
        <v>6</v>
      </c>
    </row>
    <row r="1668" spans="1:13" x14ac:dyDescent="0.25">
      <c r="A1668" s="3" t="s">
        <v>226</v>
      </c>
      <c r="B1668" s="4">
        <v>41</v>
      </c>
      <c r="C1668" s="4"/>
      <c r="D1668" s="4" t="s">
        <v>227</v>
      </c>
      <c r="E1668" s="4" t="s">
        <v>6</v>
      </c>
      <c r="F1668">
        <f>COUNTIFS($D$2:D1668,D1668)</f>
        <v>14</v>
      </c>
      <c r="G1668" t="str">
        <f t="shared" si="26"/>
        <v>3871V</v>
      </c>
      <c r="H1668">
        <v>5.4658658000000004</v>
      </c>
      <c r="I1668">
        <v>52.173274599999999</v>
      </c>
      <c r="J1668" t="s">
        <v>540</v>
      </c>
      <c r="K1668" t="s">
        <v>325</v>
      </c>
      <c r="L1668" t="s">
        <v>227</v>
      </c>
      <c r="M1668" t="s">
        <v>6</v>
      </c>
    </row>
    <row r="1669" spans="1:13" x14ac:dyDescent="0.25">
      <c r="A1669" s="3" t="s">
        <v>228</v>
      </c>
      <c r="B1669" s="4">
        <v>43</v>
      </c>
      <c r="C1669" s="4"/>
      <c r="D1669" s="4" t="s">
        <v>227</v>
      </c>
      <c r="E1669" s="4" t="s">
        <v>6</v>
      </c>
      <c r="F1669">
        <f>COUNTIFS($D$2:D1669,D1669)</f>
        <v>15</v>
      </c>
      <c r="G1669" t="str">
        <f t="shared" si="26"/>
        <v>3871V</v>
      </c>
      <c r="H1669">
        <v>5.4658940999999999</v>
      </c>
      <c r="I1669">
        <v>52.172726300000001</v>
      </c>
      <c r="J1669" t="s">
        <v>541</v>
      </c>
      <c r="K1669" t="s">
        <v>326</v>
      </c>
      <c r="L1669" t="s">
        <v>227</v>
      </c>
      <c r="M1669" t="s">
        <v>6</v>
      </c>
    </row>
    <row r="1670" spans="1:13" x14ac:dyDescent="0.25">
      <c r="A1670" s="3" t="s">
        <v>228</v>
      </c>
      <c r="B1670" s="4">
        <v>45</v>
      </c>
      <c r="C1670" s="4"/>
      <c r="D1670" s="4" t="s">
        <v>227</v>
      </c>
      <c r="E1670" s="4" t="s">
        <v>6</v>
      </c>
      <c r="F1670">
        <f>COUNTIFS($D$2:D1670,D1670)</f>
        <v>16</v>
      </c>
      <c r="G1670" t="str">
        <f t="shared" si="26"/>
        <v>3871V</v>
      </c>
      <c r="H1670">
        <v>5.4659085999999997</v>
      </c>
      <c r="I1670">
        <v>52.172672400000003</v>
      </c>
      <c r="J1670" t="s">
        <v>541</v>
      </c>
      <c r="K1670" t="s">
        <v>327</v>
      </c>
      <c r="L1670" t="s">
        <v>227</v>
      </c>
      <c r="M1670" t="s">
        <v>6</v>
      </c>
    </row>
    <row r="1671" spans="1:13" x14ac:dyDescent="0.25">
      <c r="A1671" s="3" t="s">
        <v>228</v>
      </c>
      <c r="B1671" s="4">
        <v>47</v>
      </c>
      <c r="C1671" s="4"/>
      <c r="D1671" s="4" t="s">
        <v>227</v>
      </c>
      <c r="E1671" s="4" t="s">
        <v>6</v>
      </c>
      <c r="F1671">
        <f>COUNTIFS($D$2:D1671,D1671)</f>
        <v>17</v>
      </c>
      <c r="G1671" t="str">
        <f t="shared" si="26"/>
        <v>3871V</v>
      </c>
      <c r="H1671">
        <v>5.4659085000000003</v>
      </c>
      <c r="I1671">
        <v>52.172618399999998</v>
      </c>
      <c r="J1671" t="s">
        <v>541</v>
      </c>
      <c r="K1671" t="s">
        <v>328</v>
      </c>
      <c r="L1671" t="s">
        <v>227</v>
      </c>
      <c r="M1671" t="s">
        <v>6</v>
      </c>
    </row>
    <row r="1672" spans="1:13" x14ac:dyDescent="0.25">
      <c r="A1672" s="3" t="s">
        <v>228</v>
      </c>
      <c r="B1672" s="4">
        <v>49</v>
      </c>
      <c r="C1672" s="4"/>
      <c r="D1672" s="4" t="s">
        <v>227</v>
      </c>
      <c r="E1672" s="4" t="s">
        <v>6</v>
      </c>
      <c r="F1672">
        <f>COUNTIFS($D$2:D1672,D1672)</f>
        <v>18</v>
      </c>
      <c r="G1672" t="str">
        <f t="shared" si="26"/>
        <v>3871V</v>
      </c>
      <c r="H1672">
        <v>5.4659084</v>
      </c>
      <c r="I1672">
        <v>52.172555500000001</v>
      </c>
      <c r="J1672" t="s">
        <v>541</v>
      </c>
      <c r="K1672" t="s">
        <v>329</v>
      </c>
      <c r="L1672" t="s">
        <v>227</v>
      </c>
      <c r="M1672" t="s">
        <v>6</v>
      </c>
    </row>
    <row r="1673" spans="1:13" x14ac:dyDescent="0.25">
      <c r="A1673" s="3" t="s">
        <v>228</v>
      </c>
      <c r="B1673" s="4">
        <v>51</v>
      </c>
      <c r="C1673" s="4"/>
      <c r="D1673" s="4" t="s">
        <v>227</v>
      </c>
      <c r="E1673" s="4" t="s">
        <v>6</v>
      </c>
      <c r="F1673">
        <f>COUNTIFS($D$2:D1673,D1673)</f>
        <v>19</v>
      </c>
      <c r="G1673" t="str">
        <f t="shared" si="26"/>
        <v>3871V</v>
      </c>
      <c r="H1673">
        <v>5.4659228999999998</v>
      </c>
      <c r="I1673">
        <v>52.172501599999997</v>
      </c>
      <c r="J1673" t="s">
        <v>541</v>
      </c>
      <c r="K1673" t="s">
        <v>331</v>
      </c>
      <c r="L1673" t="s">
        <v>227</v>
      </c>
      <c r="M1673" t="s">
        <v>6</v>
      </c>
    </row>
    <row r="1674" spans="1:13" x14ac:dyDescent="0.25">
      <c r="A1674" s="3" t="s">
        <v>228</v>
      </c>
      <c r="B1674" s="4">
        <v>53</v>
      </c>
      <c r="C1674" s="4"/>
      <c r="D1674" s="4" t="s">
        <v>227</v>
      </c>
      <c r="E1674" s="4" t="s">
        <v>6</v>
      </c>
      <c r="F1674">
        <f>COUNTIFS($D$2:D1674,D1674)</f>
        <v>20</v>
      </c>
      <c r="G1674" t="str">
        <f t="shared" si="26"/>
        <v>3871V</v>
      </c>
      <c r="H1674">
        <v>5.4659228000000004</v>
      </c>
      <c r="I1674">
        <v>52.172447699999999</v>
      </c>
      <c r="J1674" t="s">
        <v>541</v>
      </c>
      <c r="K1674" t="s">
        <v>332</v>
      </c>
      <c r="L1674" t="s">
        <v>227</v>
      </c>
      <c r="M1674" t="s">
        <v>6</v>
      </c>
    </row>
    <row r="1675" spans="1:13" x14ac:dyDescent="0.25">
      <c r="A1675" s="3" t="s">
        <v>228</v>
      </c>
      <c r="B1675" s="4">
        <v>55</v>
      </c>
      <c r="C1675" s="4"/>
      <c r="D1675" s="4" t="s">
        <v>227</v>
      </c>
      <c r="E1675" s="4" t="s">
        <v>6</v>
      </c>
      <c r="F1675">
        <f>COUNTIFS($D$2:D1675,D1675)</f>
        <v>21</v>
      </c>
      <c r="G1675" t="str">
        <f t="shared" si="26"/>
        <v>3871V</v>
      </c>
      <c r="H1675">
        <v>5.4659227000000001</v>
      </c>
      <c r="I1675">
        <v>52.172393700000001</v>
      </c>
      <c r="J1675" t="s">
        <v>541</v>
      </c>
      <c r="K1675" t="s">
        <v>333</v>
      </c>
      <c r="L1675" t="s">
        <v>227</v>
      </c>
      <c r="M1675" t="s">
        <v>6</v>
      </c>
    </row>
    <row r="1676" spans="1:13" x14ac:dyDescent="0.25">
      <c r="A1676" s="3" t="s">
        <v>228</v>
      </c>
      <c r="B1676" s="4">
        <v>57</v>
      </c>
      <c r="C1676" s="4"/>
      <c r="D1676" s="4" t="s">
        <v>227</v>
      </c>
      <c r="E1676" s="4" t="s">
        <v>6</v>
      </c>
      <c r="F1676">
        <f>COUNTIFS($D$2:D1676,D1676)</f>
        <v>22</v>
      </c>
      <c r="G1676" t="str">
        <f t="shared" si="26"/>
        <v>3871V</v>
      </c>
      <c r="H1676">
        <v>5.4659371999999999</v>
      </c>
      <c r="I1676">
        <v>52.172339800000003</v>
      </c>
      <c r="J1676" t="s">
        <v>541</v>
      </c>
      <c r="K1676" t="s">
        <v>334</v>
      </c>
      <c r="L1676" t="s">
        <v>227</v>
      </c>
      <c r="M1676" t="s">
        <v>6</v>
      </c>
    </row>
    <row r="1677" spans="1:13" x14ac:dyDescent="0.25">
      <c r="A1677" s="3" t="s">
        <v>228</v>
      </c>
      <c r="B1677" s="4">
        <v>59</v>
      </c>
      <c r="C1677" s="4"/>
      <c r="D1677" s="4" t="s">
        <v>227</v>
      </c>
      <c r="E1677" s="4" t="s">
        <v>6</v>
      </c>
      <c r="F1677">
        <f>COUNTIFS($D$2:D1677,D1677)</f>
        <v>23</v>
      </c>
      <c r="G1677" t="str">
        <f t="shared" si="26"/>
        <v>3871V</v>
      </c>
      <c r="H1677">
        <v>5.4659224999999996</v>
      </c>
      <c r="I1677">
        <v>52.1722769</v>
      </c>
      <c r="J1677" t="s">
        <v>541</v>
      </c>
      <c r="K1677" t="s">
        <v>335</v>
      </c>
      <c r="L1677" t="s">
        <v>227</v>
      </c>
      <c r="M1677" t="s">
        <v>6</v>
      </c>
    </row>
    <row r="1678" spans="1:13" x14ac:dyDescent="0.25">
      <c r="A1678" s="3" t="s">
        <v>228</v>
      </c>
      <c r="B1678" s="4">
        <v>61</v>
      </c>
      <c r="C1678" s="4"/>
      <c r="D1678" s="4" t="s">
        <v>227</v>
      </c>
      <c r="E1678" s="4" t="s">
        <v>6</v>
      </c>
      <c r="F1678">
        <f>COUNTIFS($D$2:D1678,D1678)</f>
        <v>24</v>
      </c>
      <c r="G1678" t="str">
        <f t="shared" si="26"/>
        <v>3871V</v>
      </c>
      <c r="H1678">
        <v>5.4659224000000002</v>
      </c>
      <c r="I1678">
        <v>52.172223000000002</v>
      </c>
      <c r="J1678" t="s">
        <v>541</v>
      </c>
      <c r="K1678" t="s">
        <v>336</v>
      </c>
      <c r="L1678" t="s">
        <v>227</v>
      </c>
      <c r="M1678" t="s">
        <v>6</v>
      </c>
    </row>
    <row r="1679" spans="1:13" x14ac:dyDescent="0.25">
      <c r="A1679" s="3" t="s">
        <v>228</v>
      </c>
      <c r="B1679" s="4">
        <v>63</v>
      </c>
      <c r="C1679" s="4"/>
      <c r="D1679" s="4" t="s">
        <v>227</v>
      </c>
      <c r="E1679" s="4" t="s">
        <v>6</v>
      </c>
      <c r="F1679">
        <f>COUNTIFS($D$2:D1679,D1679)</f>
        <v>25</v>
      </c>
      <c r="G1679" t="str">
        <f t="shared" si="26"/>
        <v>3871V</v>
      </c>
      <c r="H1679">
        <v>5.4659369</v>
      </c>
      <c r="I1679">
        <v>52.172168999999997</v>
      </c>
      <c r="J1679" t="s">
        <v>541</v>
      </c>
      <c r="K1679" t="s">
        <v>339</v>
      </c>
      <c r="L1679" t="s">
        <v>227</v>
      </c>
      <c r="M1679" t="s">
        <v>6</v>
      </c>
    </row>
    <row r="1680" spans="1:13" x14ac:dyDescent="0.25">
      <c r="A1680" s="3" t="s">
        <v>228</v>
      </c>
      <c r="B1680" s="4">
        <v>65</v>
      </c>
      <c r="C1680" s="4"/>
      <c r="D1680" s="4" t="s">
        <v>227</v>
      </c>
      <c r="E1680" s="4" t="s">
        <v>6</v>
      </c>
      <c r="F1680">
        <f>COUNTIFS($D$2:D1680,D1680)</f>
        <v>26</v>
      </c>
      <c r="G1680" t="str">
        <f t="shared" si="26"/>
        <v>3871V</v>
      </c>
      <c r="H1680">
        <v>5.4660083999999998</v>
      </c>
      <c r="I1680">
        <v>52.171234200000001</v>
      </c>
      <c r="J1680" t="s">
        <v>541</v>
      </c>
      <c r="K1680" t="s">
        <v>428</v>
      </c>
      <c r="L1680" t="s">
        <v>227</v>
      </c>
      <c r="M1680" t="s">
        <v>6</v>
      </c>
    </row>
    <row r="1681" spans="1:13" x14ac:dyDescent="0.25">
      <c r="A1681" s="3" t="s">
        <v>228</v>
      </c>
      <c r="B1681" s="4">
        <v>67</v>
      </c>
      <c r="C1681" s="4"/>
      <c r="D1681" s="4" t="s">
        <v>227</v>
      </c>
      <c r="E1681" s="4" t="s">
        <v>6</v>
      </c>
      <c r="F1681">
        <f>COUNTIFS($D$2:D1681,D1681)</f>
        <v>27</v>
      </c>
      <c r="G1681" t="str">
        <f t="shared" si="26"/>
        <v>3871V</v>
      </c>
      <c r="H1681">
        <v>5.4660228999999996</v>
      </c>
      <c r="I1681">
        <v>52.171180300000003</v>
      </c>
      <c r="J1681" t="s">
        <v>541</v>
      </c>
      <c r="K1681" t="s">
        <v>448</v>
      </c>
      <c r="L1681" t="s">
        <v>227</v>
      </c>
      <c r="M1681" t="s">
        <v>6</v>
      </c>
    </row>
    <row r="1682" spans="1:13" x14ac:dyDescent="0.25">
      <c r="A1682" s="3" t="s">
        <v>228</v>
      </c>
      <c r="B1682" s="4">
        <v>69</v>
      </c>
      <c r="C1682" s="4"/>
      <c r="D1682" s="4" t="s">
        <v>227</v>
      </c>
      <c r="E1682" s="4" t="s">
        <v>6</v>
      </c>
      <c r="F1682">
        <f>COUNTIFS($D$2:D1682,D1682)</f>
        <v>28</v>
      </c>
      <c r="G1682" t="str">
        <f t="shared" si="26"/>
        <v>3871V</v>
      </c>
      <c r="H1682">
        <v>5.4660228000000002</v>
      </c>
      <c r="I1682">
        <v>52.171126399999999</v>
      </c>
      <c r="J1682" t="s">
        <v>541</v>
      </c>
      <c r="K1682" t="s">
        <v>449</v>
      </c>
      <c r="L1682" t="s">
        <v>227</v>
      </c>
      <c r="M1682" t="s">
        <v>6</v>
      </c>
    </row>
    <row r="1683" spans="1:13" x14ac:dyDescent="0.25">
      <c r="A1683" s="3" t="s">
        <v>228</v>
      </c>
      <c r="B1683" s="4">
        <v>71</v>
      </c>
      <c r="C1683" s="4"/>
      <c r="D1683" s="4" t="s">
        <v>227</v>
      </c>
      <c r="E1683" s="4" t="s">
        <v>6</v>
      </c>
      <c r="F1683">
        <f>COUNTIFS($D$2:D1683,D1683)</f>
        <v>29</v>
      </c>
      <c r="G1683" t="str">
        <f t="shared" si="26"/>
        <v>3871V</v>
      </c>
      <c r="H1683">
        <v>5.4660226999999999</v>
      </c>
      <c r="I1683">
        <v>52.171063500000002</v>
      </c>
      <c r="J1683" t="s">
        <v>541</v>
      </c>
      <c r="K1683" t="s">
        <v>340</v>
      </c>
      <c r="L1683" t="s">
        <v>227</v>
      </c>
      <c r="M1683" t="s">
        <v>6</v>
      </c>
    </row>
    <row r="1684" spans="1:13" x14ac:dyDescent="0.25">
      <c r="A1684" s="3" t="s">
        <v>228</v>
      </c>
      <c r="B1684" s="4">
        <v>73</v>
      </c>
      <c r="C1684" s="4"/>
      <c r="D1684" s="4" t="s">
        <v>227</v>
      </c>
      <c r="E1684" s="4" t="s">
        <v>6</v>
      </c>
      <c r="F1684">
        <f>COUNTIFS($D$2:D1684,D1684)</f>
        <v>30</v>
      </c>
      <c r="G1684" t="str">
        <f t="shared" si="26"/>
        <v>3871V</v>
      </c>
      <c r="H1684">
        <v>5.4660225999999996</v>
      </c>
      <c r="I1684">
        <v>52.171009499999997</v>
      </c>
      <c r="J1684" t="s">
        <v>541</v>
      </c>
      <c r="K1684" t="s">
        <v>341</v>
      </c>
      <c r="L1684" t="s">
        <v>227</v>
      </c>
      <c r="M1684" t="s">
        <v>6</v>
      </c>
    </row>
    <row r="1685" spans="1:13" x14ac:dyDescent="0.25">
      <c r="A1685" s="3" t="s">
        <v>228</v>
      </c>
      <c r="B1685" s="4">
        <v>75</v>
      </c>
      <c r="C1685" s="4"/>
      <c r="D1685" s="4" t="s">
        <v>227</v>
      </c>
      <c r="E1685" s="4" t="s">
        <v>6</v>
      </c>
      <c r="F1685">
        <f>COUNTIFS($D$2:D1685,D1685)</f>
        <v>31</v>
      </c>
      <c r="G1685" t="str">
        <f t="shared" si="26"/>
        <v>3871V</v>
      </c>
      <c r="H1685">
        <v>5.4660225000000002</v>
      </c>
      <c r="I1685">
        <v>52.170955599999999</v>
      </c>
      <c r="J1685" t="s">
        <v>541</v>
      </c>
      <c r="K1685" t="s">
        <v>450</v>
      </c>
      <c r="L1685" t="s">
        <v>227</v>
      </c>
      <c r="M1685" t="s">
        <v>6</v>
      </c>
    </row>
    <row r="1686" spans="1:13" x14ac:dyDescent="0.25">
      <c r="A1686" s="3" t="s">
        <v>228</v>
      </c>
      <c r="B1686" s="4">
        <v>77</v>
      </c>
      <c r="C1686" s="4"/>
      <c r="D1686" s="4" t="s">
        <v>227</v>
      </c>
      <c r="E1686" s="4" t="s">
        <v>6</v>
      </c>
      <c r="F1686">
        <f>COUNTIFS($D$2:D1686,D1686)</f>
        <v>32</v>
      </c>
      <c r="G1686" t="str">
        <f t="shared" si="26"/>
        <v>3871V</v>
      </c>
      <c r="H1686">
        <v>5.4660223999999999</v>
      </c>
      <c r="I1686">
        <v>52.170901700000002</v>
      </c>
      <c r="J1686" t="s">
        <v>541</v>
      </c>
      <c r="K1686" t="s">
        <v>342</v>
      </c>
      <c r="L1686" t="s">
        <v>227</v>
      </c>
      <c r="M1686" t="s">
        <v>6</v>
      </c>
    </row>
    <row r="1687" spans="1:13" x14ac:dyDescent="0.25">
      <c r="A1687" s="3" t="s">
        <v>229</v>
      </c>
      <c r="B1687" s="4">
        <v>79</v>
      </c>
      <c r="C1687" s="4"/>
      <c r="D1687" s="4" t="s">
        <v>227</v>
      </c>
      <c r="E1687" s="4" t="s">
        <v>6</v>
      </c>
      <c r="F1687">
        <f>COUNTIFS($D$2:D1687,D1687)</f>
        <v>33</v>
      </c>
      <c r="G1687" t="str">
        <f t="shared" si="26"/>
        <v>3871V</v>
      </c>
      <c r="H1687">
        <v>5.4661378999999997</v>
      </c>
      <c r="I1687">
        <v>52.170074700000001</v>
      </c>
      <c r="J1687" t="s">
        <v>542</v>
      </c>
      <c r="K1687" t="s">
        <v>343</v>
      </c>
      <c r="L1687" t="s">
        <v>227</v>
      </c>
      <c r="M1687" t="s">
        <v>6</v>
      </c>
    </row>
    <row r="1688" spans="1:13" x14ac:dyDescent="0.25">
      <c r="A1688" s="3" t="s">
        <v>229</v>
      </c>
      <c r="B1688" s="4">
        <v>81</v>
      </c>
      <c r="C1688" s="4"/>
      <c r="D1688" s="4" t="s">
        <v>227</v>
      </c>
      <c r="E1688" s="4" t="s">
        <v>6</v>
      </c>
      <c r="F1688">
        <f>COUNTIFS($D$2:D1688,D1688)</f>
        <v>34</v>
      </c>
      <c r="G1688" t="str">
        <f t="shared" si="26"/>
        <v>3871V</v>
      </c>
      <c r="H1688">
        <v>5.4661524000000004</v>
      </c>
      <c r="I1688">
        <v>52.170020800000003</v>
      </c>
      <c r="J1688" t="s">
        <v>542</v>
      </c>
      <c r="K1688" t="s">
        <v>344</v>
      </c>
      <c r="L1688" t="s">
        <v>227</v>
      </c>
      <c r="M1688" t="s">
        <v>6</v>
      </c>
    </row>
    <row r="1689" spans="1:13" x14ac:dyDescent="0.25">
      <c r="A1689" s="3" t="s">
        <v>229</v>
      </c>
      <c r="B1689" s="4">
        <v>83</v>
      </c>
      <c r="C1689" s="4"/>
      <c r="D1689" s="4" t="s">
        <v>227</v>
      </c>
      <c r="E1689" s="4" t="s">
        <v>6</v>
      </c>
      <c r="F1689">
        <f>COUNTIFS($D$2:D1689,D1689)</f>
        <v>35</v>
      </c>
      <c r="G1689" t="str">
        <f t="shared" si="26"/>
        <v>3871V</v>
      </c>
      <c r="H1689">
        <v>5.4661377</v>
      </c>
      <c r="I1689">
        <v>52.169966899999999</v>
      </c>
      <c r="J1689" t="s">
        <v>542</v>
      </c>
      <c r="K1689" t="s">
        <v>345</v>
      </c>
      <c r="L1689" t="s">
        <v>227</v>
      </c>
      <c r="M1689" t="s">
        <v>6</v>
      </c>
    </row>
    <row r="1690" spans="1:13" x14ac:dyDescent="0.25">
      <c r="A1690" s="3" t="s">
        <v>229</v>
      </c>
      <c r="B1690" s="4">
        <v>85</v>
      </c>
      <c r="C1690" s="4"/>
      <c r="D1690" s="4" t="s">
        <v>227</v>
      </c>
      <c r="E1690" s="4" t="s">
        <v>6</v>
      </c>
      <c r="F1690">
        <f>COUNTIFS($D$2:D1690,D1690)</f>
        <v>36</v>
      </c>
      <c r="G1690" t="str">
        <f t="shared" si="26"/>
        <v>3871V</v>
      </c>
      <c r="H1690">
        <v>5.4661521999999998</v>
      </c>
      <c r="I1690">
        <v>52.1699129</v>
      </c>
      <c r="J1690" t="s">
        <v>542</v>
      </c>
      <c r="K1690" t="s">
        <v>346</v>
      </c>
      <c r="L1690" t="s">
        <v>227</v>
      </c>
      <c r="M1690" t="s">
        <v>6</v>
      </c>
    </row>
    <row r="1691" spans="1:13" x14ac:dyDescent="0.25">
      <c r="A1691" s="3" t="s">
        <v>229</v>
      </c>
      <c r="B1691" s="4">
        <v>87</v>
      </c>
      <c r="C1691" s="4"/>
      <c r="D1691" s="4" t="s">
        <v>227</v>
      </c>
      <c r="E1691" s="4" t="s">
        <v>6</v>
      </c>
      <c r="F1691">
        <f>COUNTIFS($D$2:D1691,D1691)</f>
        <v>37</v>
      </c>
      <c r="G1691" t="str">
        <f t="shared" si="26"/>
        <v>3871V</v>
      </c>
      <c r="H1691">
        <v>5.4661520000000001</v>
      </c>
      <c r="I1691">
        <v>52.169805099999998</v>
      </c>
      <c r="J1691" t="s">
        <v>542</v>
      </c>
      <c r="K1691" t="s">
        <v>543</v>
      </c>
      <c r="L1691" t="s">
        <v>227</v>
      </c>
      <c r="M1691" t="s">
        <v>6</v>
      </c>
    </row>
    <row r="1692" spans="1:13" x14ac:dyDescent="0.25">
      <c r="A1692" s="3" t="s">
        <v>229</v>
      </c>
      <c r="B1692" s="4">
        <v>89</v>
      </c>
      <c r="C1692" s="4"/>
      <c r="D1692" s="4" t="s">
        <v>227</v>
      </c>
      <c r="E1692" s="4" t="s">
        <v>6</v>
      </c>
      <c r="F1692">
        <f>COUNTIFS($D$2:D1692,D1692)</f>
        <v>38</v>
      </c>
      <c r="G1692" t="str">
        <f t="shared" si="26"/>
        <v>3871V</v>
      </c>
      <c r="H1692">
        <v>5.4661518999999998</v>
      </c>
      <c r="I1692">
        <v>52.169760099999998</v>
      </c>
      <c r="J1692" t="s">
        <v>542</v>
      </c>
      <c r="K1692" t="s">
        <v>544</v>
      </c>
      <c r="L1692" t="s">
        <v>227</v>
      </c>
      <c r="M1692" t="s">
        <v>6</v>
      </c>
    </row>
    <row r="1693" spans="1:13" x14ac:dyDescent="0.25">
      <c r="A1693" s="3" t="s">
        <v>229</v>
      </c>
      <c r="B1693" s="4">
        <v>91</v>
      </c>
      <c r="C1693" s="4"/>
      <c r="D1693" s="4" t="s">
        <v>227</v>
      </c>
      <c r="E1693" s="4" t="s">
        <v>6</v>
      </c>
      <c r="F1693">
        <f>COUNTIFS($D$2:D1693,D1693)</f>
        <v>39</v>
      </c>
      <c r="G1693" t="str">
        <f t="shared" si="26"/>
        <v>3871V</v>
      </c>
      <c r="H1693">
        <v>5.4661663999999996</v>
      </c>
      <c r="I1693">
        <v>52.1697062</v>
      </c>
      <c r="J1693" t="s">
        <v>542</v>
      </c>
      <c r="K1693" t="s">
        <v>545</v>
      </c>
      <c r="L1693" t="s">
        <v>227</v>
      </c>
      <c r="M1693" t="s">
        <v>6</v>
      </c>
    </row>
    <row r="1694" spans="1:13" x14ac:dyDescent="0.25">
      <c r="A1694" s="3" t="s">
        <v>229</v>
      </c>
      <c r="B1694" s="4">
        <v>93</v>
      </c>
      <c r="C1694" s="4"/>
      <c r="D1694" s="4" t="s">
        <v>227</v>
      </c>
      <c r="E1694" s="4" t="s">
        <v>6</v>
      </c>
      <c r="F1694">
        <f>COUNTIFS($D$2:D1694,D1694)</f>
        <v>40</v>
      </c>
      <c r="G1694" t="str">
        <f t="shared" si="26"/>
        <v>3871V</v>
      </c>
      <c r="H1694">
        <v>5.4661663000000003</v>
      </c>
      <c r="I1694">
        <v>52.169643299999997</v>
      </c>
      <c r="J1694" t="s">
        <v>542</v>
      </c>
      <c r="K1694" t="s">
        <v>546</v>
      </c>
      <c r="L1694" t="s">
        <v>227</v>
      </c>
      <c r="M1694" t="s">
        <v>6</v>
      </c>
    </row>
    <row r="1695" spans="1:13" x14ac:dyDescent="0.25">
      <c r="A1695" s="3" t="s">
        <v>229</v>
      </c>
      <c r="B1695" s="4">
        <v>95</v>
      </c>
      <c r="C1695" s="4"/>
      <c r="D1695" s="4" t="s">
        <v>227</v>
      </c>
      <c r="E1695" s="4" t="s">
        <v>6</v>
      </c>
      <c r="F1695">
        <f>COUNTIFS($D$2:D1695,D1695)</f>
        <v>41</v>
      </c>
      <c r="G1695" t="str">
        <f t="shared" si="26"/>
        <v>3871V</v>
      </c>
      <c r="H1695">
        <v>5.4661663000000003</v>
      </c>
      <c r="I1695">
        <v>52.169598299999997</v>
      </c>
      <c r="J1695" t="s">
        <v>542</v>
      </c>
      <c r="K1695" t="s">
        <v>547</v>
      </c>
      <c r="L1695" t="s">
        <v>227</v>
      </c>
      <c r="M1695" t="s">
        <v>6</v>
      </c>
    </row>
    <row r="1696" spans="1:13" x14ac:dyDescent="0.25">
      <c r="A1696" s="3" t="s">
        <v>229</v>
      </c>
      <c r="B1696" s="4">
        <v>97</v>
      </c>
      <c r="C1696" s="4"/>
      <c r="D1696" s="4" t="s">
        <v>227</v>
      </c>
      <c r="E1696" s="4" t="s">
        <v>6</v>
      </c>
      <c r="F1696">
        <f>COUNTIFS($D$2:D1696,D1696)</f>
        <v>42</v>
      </c>
      <c r="G1696" t="str">
        <f t="shared" si="26"/>
        <v>3871V</v>
      </c>
      <c r="H1696">
        <v>5.4661808000000001</v>
      </c>
      <c r="I1696">
        <v>52.169544399999999</v>
      </c>
      <c r="J1696" t="s">
        <v>542</v>
      </c>
      <c r="K1696" t="s">
        <v>548</v>
      </c>
      <c r="L1696" t="s">
        <v>227</v>
      </c>
      <c r="M1696" t="s">
        <v>6</v>
      </c>
    </row>
    <row r="1697" spans="1:13" x14ac:dyDescent="0.25">
      <c r="A1697" s="3" t="s">
        <v>230</v>
      </c>
      <c r="B1697" s="4">
        <v>6</v>
      </c>
      <c r="C1697" s="4"/>
      <c r="D1697" s="4" t="s">
        <v>227</v>
      </c>
      <c r="E1697" s="4" t="s">
        <v>6</v>
      </c>
      <c r="F1697">
        <f>COUNTIFS($D$2:D1697,D1697)</f>
        <v>43</v>
      </c>
      <c r="G1697" t="str">
        <f t="shared" si="26"/>
        <v>3871V</v>
      </c>
      <c r="H1697">
        <v>5.4652837999999999</v>
      </c>
      <c r="I1697">
        <v>52.174856800000001</v>
      </c>
      <c r="J1697" t="s">
        <v>549</v>
      </c>
      <c r="K1697" t="s">
        <v>262</v>
      </c>
      <c r="L1697" t="s">
        <v>227</v>
      </c>
      <c r="M1697" t="s">
        <v>6</v>
      </c>
    </row>
    <row r="1698" spans="1:13" x14ac:dyDescent="0.25">
      <c r="A1698" s="3" t="s">
        <v>230</v>
      </c>
      <c r="B1698" s="4">
        <v>16</v>
      </c>
      <c r="C1698" s="4"/>
      <c r="D1698" s="4" t="s">
        <v>227</v>
      </c>
      <c r="E1698" s="4" t="s">
        <v>6</v>
      </c>
      <c r="F1698">
        <f>COUNTIFS($D$2:D1698,D1698)</f>
        <v>44</v>
      </c>
      <c r="G1698" t="str">
        <f t="shared" si="26"/>
        <v>3871V</v>
      </c>
      <c r="H1698">
        <v>5.4653122999999999</v>
      </c>
      <c r="I1698">
        <v>52.174398400000001</v>
      </c>
      <c r="J1698" t="s">
        <v>549</v>
      </c>
      <c r="K1698" t="s">
        <v>371</v>
      </c>
      <c r="L1698" t="s">
        <v>227</v>
      </c>
      <c r="M1698" t="s">
        <v>6</v>
      </c>
    </row>
    <row r="1699" spans="1:13" x14ac:dyDescent="0.25">
      <c r="A1699" s="3" t="s">
        <v>230</v>
      </c>
      <c r="B1699" s="4">
        <v>18</v>
      </c>
      <c r="C1699" s="4"/>
      <c r="D1699" s="4" t="s">
        <v>227</v>
      </c>
      <c r="E1699" s="4" t="s">
        <v>6</v>
      </c>
      <c r="F1699">
        <f>COUNTIFS($D$2:D1699,D1699)</f>
        <v>45</v>
      </c>
      <c r="G1699" t="str">
        <f t="shared" si="26"/>
        <v>3871V</v>
      </c>
      <c r="H1699">
        <v>5.4653694000000002</v>
      </c>
      <c r="I1699">
        <v>52.173643400000003</v>
      </c>
      <c r="J1699" t="s">
        <v>549</v>
      </c>
      <c r="K1699" t="s">
        <v>267</v>
      </c>
      <c r="L1699" t="s">
        <v>227</v>
      </c>
      <c r="M1699" t="s">
        <v>6</v>
      </c>
    </row>
    <row r="1700" spans="1:13" x14ac:dyDescent="0.25">
      <c r="A1700" s="3" t="s">
        <v>230</v>
      </c>
      <c r="B1700" s="4">
        <v>20</v>
      </c>
      <c r="C1700" s="4"/>
      <c r="D1700" s="4" t="s">
        <v>227</v>
      </c>
      <c r="E1700" s="4" t="s">
        <v>6</v>
      </c>
      <c r="F1700">
        <f>COUNTIFS($D$2:D1700,D1700)</f>
        <v>46</v>
      </c>
      <c r="G1700" t="str">
        <f t="shared" si="26"/>
        <v>3871V</v>
      </c>
      <c r="H1700">
        <v>5.4653692999999999</v>
      </c>
      <c r="I1700">
        <v>52.1735805</v>
      </c>
      <c r="J1700" t="s">
        <v>549</v>
      </c>
      <c r="K1700" t="s">
        <v>372</v>
      </c>
      <c r="L1700" t="s">
        <v>227</v>
      </c>
      <c r="M1700" t="s">
        <v>6</v>
      </c>
    </row>
    <row r="1701" spans="1:13" x14ac:dyDescent="0.25">
      <c r="A1701" s="3" t="s">
        <v>230</v>
      </c>
      <c r="B1701" s="4">
        <v>22</v>
      </c>
      <c r="C1701" s="4"/>
      <c r="D1701" s="4" t="s">
        <v>227</v>
      </c>
      <c r="E1701" s="4" t="s">
        <v>6</v>
      </c>
      <c r="F1701">
        <f>COUNTIFS($D$2:D1701,D1701)</f>
        <v>47</v>
      </c>
      <c r="G1701" t="str">
        <f t="shared" si="26"/>
        <v>3871V</v>
      </c>
      <c r="H1701">
        <v>5.4653691999999996</v>
      </c>
      <c r="I1701">
        <v>52.173526600000002</v>
      </c>
      <c r="J1701" t="s">
        <v>549</v>
      </c>
      <c r="K1701" t="s">
        <v>269</v>
      </c>
      <c r="L1701" t="s">
        <v>227</v>
      </c>
      <c r="M1701" t="s">
        <v>6</v>
      </c>
    </row>
    <row r="1702" spans="1:13" x14ac:dyDescent="0.25">
      <c r="A1702" s="3" t="s">
        <v>230</v>
      </c>
      <c r="B1702" s="4">
        <v>24</v>
      </c>
      <c r="C1702" s="4"/>
      <c r="D1702" s="4" t="s">
        <v>227</v>
      </c>
      <c r="E1702" s="4" t="s">
        <v>6</v>
      </c>
      <c r="F1702">
        <f>COUNTIFS($D$2:D1702,D1702)</f>
        <v>48</v>
      </c>
      <c r="G1702" t="str">
        <f t="shared" si="26"/>
        <v>3871V</v>
      </c>
      <c r="H1702">
        <v>5.4653837000000003</v>
      </c>
      <c r="I1702">
        <v>52.173463699999999</v>
      </c>
      <c r="J1702" t="s">
        <v>549</v>
      </c>
      <c r="K1702" t="s">
        <v>270</v>
      </c>
      <c r="L1702" t="s">
        <v>227</v>
      </c>
      <c r="M1702" t="s">
        <v>6</v>
      </c>
    </row>
    <row r="1703" spans="1:13" x14ac:dyDescent="0.25">
      <c r="A1703" s="3" t="s">
        <v>230</v>
      </c>
      <c r="B1703" s="4">
        <v>26</v>
      </c>
      <c r="C1703" s="4"/>
      <c r="D1703" s="4" t="s">
        <v>227</v>
      </c>
      <c r="E1703" s="4" t="s">
        <v>6</v>
      </c>
      <c r="F1703">
        <f>COUNTIFS($D$2:D1703,D1703)</f>
        <v>49</v>
      </c>
      <c r="G1703" t="str">
        <f t="shared" si="26"/>
        <v>3871V</v>
      </c>
      <c r="H1703">
        <v>5.4653836</v>
      </c>
      <c r="I1703">
        <v>52.173409700000001</v>
      </c>
      <c r="J1703" t="s">
        <v>549</v>
      </c>
      <c r="K1703" t="s">
        <v>271</v>
      </c>
      <c r="L1703" t="s">
        <v>227</v>
      </c>
      <c r="M1703" t="s">
        <v>6</v>
      </c>
    </row>
    <row r="1704" spans="1:13" x14ac:dyDescent="0.25">
      <c r="A1704" s="3" t="s">
        <v>230</v>
      </c>
      <c r="B1704" s="4">
        <v>28</v>
      </c>
      <c r="C1704" s="4"/>
      <c r="D1704" s="4" t="s">
        <v>227</v>
      </c>
      <c r="E1704" s="4" t="s">
        <v>6</v>
      </c>
      <c r="F1704">
        <f>COUNTIFS($D$2:D1704,D1704)</f>
        <v>50</v>
      </c>
      <c r="G1704" t="str">
        <f t="shared" si="26"/>
        <v>3871V</v>
      </c>
      <c r="H1704">
        <v>5.4653834999999997</v>
      </c>
      <c r="I1704">
        <v>52.173355800000003</v>
      </c>
      <c r="J1704" t="s">
        <v>549</v>
      </c>
      <c r="K1704" t="s">
        <v>272</v>
      </c>
      <c r="L1704" t="s">
        <v>227</v>
      </c>
      <c r="M1704" t="s">
        <v>6</v>
      </c>
    </row>
    <row r="1705" spans="1:13" x14ac:dyDescent="0.25">
      <c r="A1705" s="3" t="s">
        <v>230</v>
      </c>
      <c r="B1705" s="4">
        <v>32</v>
      </c>
      <c r="C1705" s="4"/>
      <c r="D1705" s="4" t="s">
        <v>227</v>
      </c>
      <c r="E1705" s="4" t="s">
        <v>6</v>
      </c>
      <c r="F1705">
        <f>COUNTIFS($D$2:D1705,D1705)</f>
        <v>51</v>
      </c>
      <c r="G1705" t="str">
        <f t="shared" si="26"/>
        <v>3871V</v>
      </c>
      <c r="H1705">
        <v>5.4653970000000003</v>
      </c>
      <c r="I1705">
        <v>52.172699700000003</v>
      </c>
      <c r="J1705" t="s">
        <v>549</v>
      </c>
      <c r="K1705" t="s">
        <v>273</v>
      </c>
      <c r="L1705" t="s">
        <v>227</v>
      </c>
      <c r="M1705" t="s">
        <v>6</v>
      </c>
    </row>
    <row r="1706" spans="1:13" x14ac:dyDescent="0.25">
      <c r="A1706" s="3" t="s">
        <v>230</v>
      </c>
      <c r="B1706" s="4">
        <v>34</v>
      </c>
      <c r="C1706" s="4"/>
      <c r="D1706" s="4" t="s">
        <v>227</v>
      </c>
      <c r="E1706" s="4" t="s">
        <v>6</v>
      </c>
      <c r="F1706">
        <f>COUNTIFS($D$2:D1706,D1706)</f>
        <v>52</v>
      </c>
      <c r="G1706" t="str">
        <f t="shared" si="26"/>
        <v>3871V</v>
      </c>
      <c r="H1706">
        <v>5.4653969</v>
      </c>
      <c r="I1706">
        <v>52.172645699999997</v>
      </c>
      <c r="J1706" t="s">
        <v>549</v>
      </c>
      <c r="K1706" t="s">
        <v>274</v>
      </c>
      <c r="L1706" t="s">
        <v>227</v>
      </c>
      <c r="M1706" t="s">
        <v>6</v>
      </c>
    </row>
    <row r="1707" spans="1:13" x14ac:dyDescent="0.25">
      <c r="A1707" s="3" t="s">
        <v>230</v>
      </c>
      <c r="B1707" s="4">
        <v>36</v>
      </c>
      <c r="C1707" s="4"/>
      <c r="D1707" s="4" t="s">
        <v>227</v>
      </c>
      <c r="E1707" s="4" t="s">
        <v>6</v>
      </c>
      <c r="F1707">
        <f>COUNTIFS($D$2:D1707,D1707)</f>
        <v>53</v>
      </c>
      <c r="G1707" t="str">
        <f t="shared" si="26"/>
        <v>3871V</v>
      </c>
      <c r="H1707">
        <v>5.4654113999999998</v>
      </c>
      <c r="I1707">
        <v>52.172564800000004</v>
      </c>
      <c r="J1707" t="s">
        <v>549</v>
      </c>
      <c r="K1707" t="s">
        <v>275</v>
      </c>
      <c r="L1707" t="s">
        <v>227</v>
      </c>
      <c r="M1707" t="s">
        <v>6</v>
      </c>
    </row>
    <row r="1708" spans="1:13" x14ac:dyDescent="0.25">
      <c r="A1708" s="3" t="s">
        <v>230</v>
      </c>
      <c r="B1708" s="4">
        <v>38</v>
      </c>
      <c r="C1708" s="4"/>
      <c r="D1708" s="4" t="s">
        <v>227</v>
      </c>
      <c r="E1708" s="4" t="s">
        <v>6</v>
      </c>
      <c r="F1708">
        <f>COUNTIFS($D$2:D1708,D1708)</f>
        <v>54</v>
      </c>
      <c r="G1708" t="str">
        <f t="shared" si="26"/>
        <v>3871V</v>
      </c>
      <c r="H1708">
        <v>5.4654258999999996</v>
      </c>
      <c r="I1708">
        <v>52.172510899999999</v>
      </c>
      <c r="J1708" t="s">
        <v>549</v>
      </c>
      <c r="K1708" t="s">
        <v>374</v>
      </c>
      <c r="L1708" t="s">
        <v>227</v>
      </c>
      <c r="M1708" t="s">
        <v>6</v>
      </c>
    </row>
    <row r="1709" spans="1:13" x14ac:dyDescent="0.25">
      <c r="A1709" s="3" t="s">
        <v>230</v>
      </c>
      <c r="B1709" s="4">
        <v>40</v>
      </c>
      <c r="C1709" s="4"/>
      <c r="D1709" s="4" t="s">
        <v>227</v>
      </c>
      <c r="E1709" s="4" t="s">
        <v>6</v>
      </c>
      <c r="F1709">
        <f>COUNTIFS($D$2:D1709,D1709)</f>
        <v>55</v>
      </c>
      <c r="G1709" t="str">
        <f t="shared" si="26"/>
        <v>3871V</v>
      </c>
      <c r="H1709">
        <v>5.4654258000000002</v>
      </c>
      <c r="I1709">
        <v>52.172466</v>
      </c>
      <c r="J1709" t="s">
        <v>549</v>
      </c>
      <c r="K1709" t="s">
        <v>276</v>
      </c>
      <c r="L1709" t="s">
        <v>227</v>
      </c>
      <c r="M1709" t="s">
        <v>6</v>
      </c>
    </row>
    <row r="1710" spans="1:13" x14ac:dyDescent="0.25">
      <c r="A1710" s="3" t="s">
        <v>231</v>
      </c>
      <c r="B1710" s="4">
        <v>42</v>
      </c>
      <c r="C1710" s="4"/>
      <c r="D1710" s="4" t="s">
        <v>227</v>
      </c>
      <c r="E1710" s="4" t="s">
        <v>6</v>
      </c>
      <c r="F1710">
        <f>COUNTIFS($D$2:D1710,D1710)</f>
        <v>56</v>
      </c>
      <c r="G1710" t="str">
        <f t="shared" si="26"/>
        <v>3871V</v>
      </c>
      <c r="H1710">
        <v>5.4654400000000001</v>
      </c>
      <c r="I1710">
        <v>52.172196300000003</v>
      </c>
      <c r="J1710" t="s">
        <v>550</v>
      </c>
      <c r="K1710" t="s">
        <v>376</v>
      </c>
      <c r="L1710" t="s">
        <v>227</v>
      </c>
      <c r="M1710" t="s">
        <v>6</v>
      </c>
    </row>
    <row r="1711" spans="1:13" x14ac:dyDescent="0.25">
      <c r="A1711" s="3" t="s">
        <v>231</v>
      </c>
      <c r="B1711" s="4">
        <v>44</v>
      </c>
      <c r="C1711" s="4"/>
      <c r="D1711" s="4" t="s">
        <v>227</v>
      </c>
      <c r="E1711" s="4" t="s">
        <v>6</v>
      </c>
      <c r="F1711">
        <f>COUNTIFS($D$2:D1711,D1711)</f>
        <v>57</v>
      </c>
      <c r="G1711" t="str">
        <f t="shared" si="26"/>
        <v>3871V</v>
      </c>
      <c r="H1711">
        <v>5.4654398999999998</v>
      </c>
      <c r="I1711">
        <v>52.172142399999998</v>
      </c>
      <c r="J1711" t="s">
        <v>550</v>
      </c>
      <c r="K1711" t="s">
        <v>377</v>
      </c>
      <c r="L1711" t="s">
        <v>227</v>
      </c>
      <c r="M1711" t="s">
        <v>6</v>
      </c>
    </row>
    <row r="1712" spans="1:13" x14ac:dyDescent="0.25">
      <c r="A1712" s="3" t="s">
        <v>231</v>
      </c>
      <c r="B1712" s="4">
        <v>46</v>
      </c>
      <c r="C1712" s="4"/>
      <c r="D1712" s="4" t="s">
        <v>227</v>
      </c>
      <c r="E1712" s="4" t="s">
        <v>6</v>
      </c>
      <c r="F1712">
        <f>COUNTIFS($D$2:D1712,D1712)</f>
        <v>58</v>
      </c>
      <c r="G1712" t="str">
        <f t="shared" si="26"/>
        <v>3871V</v>
      </c>
      <c r="H1712">
        <v>5.4654398000000004</v>
      </c>
      <c r="I1712">
        <v>52.172088500000001</v>
      </c>
      <c r="J1712" t="s">
        <v>550</v>
      </c>
      <c r="K1712" t="s">
        <v>277</v>
      </c>
      <c r="L1712" t="s">
        <v>227</v>
      </c>
      <c r="M1712" t="s">
        <v>6</v>
      </c>
    </row>
    <row r="1713" spans="1:13" x14ac:dyDescent="0.25">
      <c r="A1713" s="3" t="s">
        <v>231</v>
      </c>
      <c r="B1713" s="4">
        <v>48</v>
      </c>
      <c r="C1713" s="4"/>
      <c r="D1713" s="4" t="s">
        <v>227</v>
      </c>
      <c r="E1713" s="4" t="s">
        <v>6</v>
      </c>
      <c r="F1713">
        <f>COUNTIFS($D$2:D1713,D1713)</f>
        <v>59</v>
      </c>
      <c r="G1713" t="str">
        <f t="shared" si="26"/>
        <v>3871V</v>
      </c>
      <c r="H1713">
        <v>5.4654543000000002</v>
      </c>
      <c r="I1713">
        <v>52.172025499999997</v>
      </c>
      <c r="J1713" t="s">
        <v>550</v>
      </c>
      <c r="K1713" t="s">
        <v>278</v>
      </c>
      <c r="L1713" t="s">
        <v>227</v>
      </c>
      <c r="M1713" t="s">
        <v>6</v>
      </c>
    </row>
    <row r="1714" spans="1:13" x14ac:dyDescent="0.25">
      <c r="A1714" s="3" t="s">
        <v>231</v>
      </c>
      <c r="B1714" s="4">
        <v>50</v>
      </c>
      <c r="C1714" s="4"/>
      <c r="D1714" s="4" t="s">
        <v>227</v>
      </c>
      <c r="E1714" s="4" t="s">
        <v>6</v>
      </c>
      <c r="F1714">
        <f>COUNTIFS($D$2:D1714,D1714)</f>
        <v>60</v>
      </c>
      <c r="G1714" t="str">
        <f t="shared" si="26"/>
        <v>3871V</v>
      </c>
      <c r="H1714">
        <v>5.4654688</v>
      </c>
      <c r="I1714">
        <v>52.171971599999999</v>
      </c>
      <c r="J1714" t="s">
        <v>550</v>
      </c>
      <c r="K1714" t="s">
        <v>280</v>
      </c>
      <c r="L1714" t="s">
        <v>227</v>
      </c>
      <c r="M1714" t="s">
        <v>6</v>
      </c>
    </row>
    <row r="1715" spans="1:13" x14ac:dyDescent="0.25">
      <c r="A1715" s="3" t="s">
        <v>231</v>
      </c>
      <c r="B1715" s="4">
        <v>52</v>
      </c>
      <c r="C1715" s="4"/>
      <c r="D1715" s="4" t="s">
        <v>227</v>
      </c>
      <c r="E1715" s="4" t="s">
        <v>6</v>
      </c>
      <c r="F1715">
        <f>COUNTIFS($D$2:D1715,D1715)</f>
        <v>61</v>
      </c>
      <c r="G1715" t="str">
        <f t="shared" si="26"/>
        <v>3871V</v>
      </c>
      <c r="H1715">
        <v>5.4654540999999996</v>
      </c>
      <c r="I1715">
        <v>52.1719267</v>
      </c>
      <c r="J1715" t="s">
        <v>550</v>
      </c>
      <c r="K1715" t="s">
        <v>281</v>
      </c>
      <c r="L1715" t="s">
        <v>227</v>
      </c>
      <c r="M1715" t="s">
        <v>6</v>
      </c>
    </row>
    <row r="1716" spans="1:13" x14ac:dyDescent="0.25">
      <c r="A1716" s="3" t="s">
        <v>231</v>
      </c>
      <c r="B1716" s="4">
        <v>54</v>
      </c>
      <c r="C1716" s="4"/>
      <c r="D1716" s="4" t="s">
        <v>227</v>
      </c>
      <c r="E1716" s="4" t="s">
        <v>6</v>
      </c>
      <c r="F1716">
        <f>COUNTIFS($D$2:D1716,D1716)</f>
        <v>62</v>
      </c>
      <c r="G1716" t="str">
        <f t="shared" si="26"/>
        <v>3871V</v>
      </c>
      <c r="H1716">
        <v>5.4654828999999996</v>
      </c>
      <c r="I1716">
        <v>52.171692999999998</v>
      </c>
      <c r="J1716" t="s">
        <v>550</v>
      </c>
      <c r="K1716" t="s">
        <v>282</v>
      </c>
      <c r="L1716" t="s">
        <v>227</v>
      </c>
      <c r="M1716" t="s">
        <v>6</v>
      </c>
    </row>
    <row r="1717" spans="1:13" x14ac:dyDescent="0.25">
      <c r="A1717" s="3" t="s">
        <v>231</v>
      </c>
      <c r="B1717" s="4">
        <v>56</v>
      </c>
      <c r="C1717" s="4"/>
      <c r="D1717" s="4" t="s">
        <v>227</v>
      </c>
      <c r="E1717" s="4" t="s">
        <v>6</v>
      </c>
      <c r="F1717">
        <f>COUNTIFS($D$2:D1717,D1717)</f>
        <v>63</v>
      </c>
      <c r="G1717" t="str">
        <f t="shared" si="26"/>
        <v>3871V</v>
      </c>
      <c r="H1717">
        <v>5.4654974999999997</v>
      </c>
      <c r="I1717">
        <v>52.171638999999999</v>
      </c>
      <c r="J1717" t="s">
        <v>550</v>
      </c>
      <c r="K1717" t="s">
        <v>283</v>
      </c>
      <c r="L1717" t="s">
        <v>227</v>
      </c>
      <c r="M1717" t="s">
        <v>6</v>
      </c>
    </row>
    <row r="1718" spans="1:13" x14ac:dyDescent="0.25">
      <c r="A1718" s="3" t="s">
        <v>231</v>
      </c>
      <c r="B1718" s="4">
        <v>58</v>
      </c>
      <c r="C1718" s="4"/>
      <c r="D1718" s="4" t="s">
        <v>227</v>
      </c>
      <c r="E1718" s="4" t="s">
        <v>6</v>
      </c>
      <c r="F1718">
        <f>COUNTIFS($D$2:D1718,D1718)</f>
        <v>64</v>
      </c>
      <c r="G1718" t="str">
        <f t="shared" si="26"/>
        <v>3871V</v>
      </c>
      <c r="H1718">
        <v>5.4655120000000004</v>
      </c>
      <c r="I1718">
        <v>52.171576100000003</v>
      </c>
      <c r="J1718" t="s">
        <v>550</v>
      </c>
      <c r="K1718" t="s">
        <v>284</v>
      </c>
      <c r="L1718" t="s">
        <v>227</v>
      </c>
      <c r="M1718" t="s">
        <v>6</v>
      </c>
    </row>
    <row r="1719" spans="1:13" x14ac:dyDescent="0.25">
      <c r="A1719" s="3" t="s">
        <v>231</v>
      </c>
      <c r="B1719" s="4">
        <v>60</v>
      </c>
      <c r="C1719" s="4"/>
      <c r="D1719" s="4" t="s">
        <v>227</v>
      </c>
      <c r="E1719" s="4" t="s">
        <v>6</v>
      </c>
      <c r="F1719">
        <f>COUNTIFS($D$2:D1719,D1719)</f>
        <v>65</v>
      </c>
      <c r="G1719" t="str">
        <f t="shared" si="26"/>
        <v>3871V</v>
      </c>
      <c r="H1719">
        <v>5.4654825999999996</v>
      </c>
      <c r="I1719">
        <v>52.171531199999997</v>
      </c>
      <c r="J1719" t="s">
        <v>550</v>
      </c>
      <c r="K1719" t="s">
        <v>285</v>
      </c>
      <c r="L1719" t="s">
        <v>227</v>
      </c>
      <c r="M1719" t="s">
        <v>6</v>
      </c>
    </row>
    <row r="1720" spans="1:13" x14ac:dyDescent="0.25">
      <c r="A1720" s="3" t="s">
        <v>231</v>
      </c>
      <c r="B1720" s="4">
        <v>62</v>
      </c>
      <c r="C1720" s="4"/>
      <c r="D1720" s="4" t="s">
        <v>227</v>
      </c>
      <c r="E1720" s="4" t="s">
        <v>6</v>
      </c>
      <c r="F1720">
        <f>COUNTIFS($D$2:D1720,D1720)</f>
        <v>66</v>
      </c>
      <c r="G1720" t="str">
        <f t="shared" si="26"/>
        <v>3871V</v>
      </c>
      <c r="H1720">
        <v>5.4654670000000003</v>
      </c>
      <c r="I1720">
        <v>52.170929000000001</v>
      </c>
      <c r="J1720" t="s">
        <v>550</v>
      </c>
      <c r="K1720" t="s">
        <v>286</v>
      </c>
      <c r="L1720" t="s">
        <v>227</v>
      </c>
      <c r="M1720" t="s">
        <v>6</v>
      </c>
    </row>
    <row r="1721" spans="1:13" x14ac:dyDescent="0.25">
      <c r="A1721" s="3" t="s">
        <v>231</v>
      </c>
      <c r="B1721" s="4">
        <v>64</v>
      </c>
      <c r="C1721" s="4"/>
      <c r="D1721" s="4" t="s">
        <v>227</v>
      </c>
      <c r="E1721" s="4" t="s">
        <v>6</v>
      </c>
      <c r="F1721">
        <f>COUNTIFS($D$2:D1721,D1721)</f>
        <v>67</v>
      </c>
      <c r="G1721" t="str">
        <f t="shared" si="26"/>
        <v>3871V</v>
      </c>
      <c r="H1721">
        <v>5.4654669</v>
      </c>
      <c r="I1721">
        <v>52.170875100000003</v>
      </c>
      <c r="J1721" t="s">
        <v>550</v>
      </c>
      <c r="K1721" t="s">
        <v>287</v>
      </c>
      <c r="L1721" t="s">
        <v>227</v>
      </c>
      <c r="M1721" t="s">
        <v>6</v>
      </c>
    </row>
    <row r="1722" spans="1:13" x14ac:dyDescent="0.25">
      <c r="A1722" s="3" t="s">
        <v>231</v>
      </c>
      <c r="B1722" s="4">
        <v>66</v>
      </c>
      <c r="C1722" s="4"/>
      <c r="D1722" s="4" t="s">
        <v>227</v>
      </c>
      <c r="E1722" s="4" t="s">
        <v>6</v>
      </c>
      <c r="F1722">
        <f>COUNTIFS($D$2:D1722,D1722)</f>
        <v>68</v>
      </c>
      <c r="G1722" t="str">
        <f t="shared" si="26"/>
        <v>3871V</v>
      </c>
      <c r="H1722">
        <v>5.4654667999999997</v>
      </c>
      <c r="I1722">
        <v>52.170821199999999</v>
      </c>
      <c r="J1722" t="s">
        <v>550</v>
      </c>
      <c r="K1722" t="s">
        <v>288</v>
      </c>
      <c r="L1722" t="s">
        <v>227</v>
      </c>
      <c r="M1722" t="s">
        <v>6</v>
      </c>
    </row>
    <row r="1723" spans="1:13" x14ac:dyDescent="0.25">
      <c r="A1723" s="3" t="s">
        <v>231</v>
      </c>
      <c r="B1723" s="4">
        <v>68</v>
      </c>
      <c r="C1723" s="4"/>
      <c r="D1723" s="4" t="s">
        <v>227</v>
      </c>
      <c r="E1723" s="4" t="s">
        <v>6</v>
      </c>
      <c r="F1723">
        <f>COUNTIFS($D$2:D1723,D1723)</f>
        <v>69</v>
      </c>
      <c r="G1723" t="str">
        <f t="shared" si="26"/>
        <v>3871V</v>
      </c>
      <c r="H1723">
        <v>5.4654813000000004</v>
      </c>
      <c r="I1723">
        <v>52.1707672</v>
      </c>
      <c r="J1723" t="s">
        <v>550</v>
      </c>
      <c r="K1723" t="s">
        <v>289</v>
      </c>
      <c r="L1723" t="s">
        <v>227</v>
      </c>
      <c r="M1723" t="s">
        <v>6</v>
      </c>
    </row>
    <row r="1724" spans="1:13" x14ac:dyDescent="0.25">
      <c r="A1724" s="3" t="s">
        <v>231</v>
      </c>
      <c r="B1724" s="4">
        <v>70</v>
      </c>
      <c r="C1724" s="4"/>
      <c r="D1724" s="4" t="s">
        <v>227</v>
      </c>
      <c r="E1724" s="4" t="s">
        <v>6</v>
      </c>
      <c r="F1724">
        <f>COUNTIFS($D$2:D1724,D1724)</f>
        <v>70</v>
      </c>
      <c r="G1724" t="str">
        <f t="shared" si="26"/>
        <v>3871V</v>
      </c>
      <c r="H1724">
        <v>5.4654812000000002</v>
      </c>
      <c r="I1724">
        <v>52.170713300000003</v>
      </c>
      <c r="J1724" t="s">
        <v>550</v>
      </c>
      <c r="K1724" t="s">
        <v>290</v>
      </c>
      <c r="L1724" t="s">
        <v>227</v>
      </c>
      <c r="M1724" t="s">
        <v>6</v>
      </c>
    </row>
    <row r="1725" spans="1:13" x14ac:dyDescent="0.25">
      <c r="A1725" s="3" t="s">
        <v>231</v>
      </c>
      <c r="B1725" s="4">
        <v>72</v>
      </c>
      <c r="C1725" s="4"/>
      <c r="D1725" s="4" t="s">
        <v>227</v>
      </c>
      <c r="E1725" s="4" t="s">
        <v>6</v>
      </c>
      <c r="F1725">
        <f>COUNTIFS($D$2:D1725,D1725)</f>
        <v>71</v>
      </c>
      <c r="G1725" t="str">
        <f t="shared" si="26"/>
        <v>3871V</v>
      </c>
      <c r="H1725">
        <v>5.4654810999999999</v>
      </c>
      <c r="I1725">
        <v>52.1706504</v>
      </c>
      <c r="J1725" t="s">
        <v>550</v>
      </c>
      <c r="K1725" t="s">
        <v>291</v>
      </c>
      <c r="L1725" t="s">
        <v>227</v>
      </c>
      <c r="M1725" t="s">
        <v>6</v>
      </c>
    </row>
    <row r="1726" spans="1:13" x14ac:dyDescent="0.25">
      <c r="A1726" s="3" t="s">
        <v>232</v>
      </c>
      <c r="B1726" s="4">
        <v>1</v>
      </c>
      <c r="C1726" s="4" t="s">
        <v>12</v>
      </c>
      <c r="D1726" s="4" t="s">
        <v>233</v>
      </c>
      <c r="E1726" s="4" t="s">
        <v>6</v>
      </c>
      <c r="F1726">
        <f>COUNTIFS($D$2:D1726,D1726)</f>
        <v>1</v>
      </c>
      <c r="G1726" t="str">
        <f t="shared" si="26"/>
        <v>3871V</v>
      </c>
      <c r="H1726">
        <v>5.4649811000000001</v>
      </c>
      <c r="I1726">
        <v>52.175232700000002</v>
      </c>
      <c r="J1726" t="s">
        <v>551</v>
      </c>
      <c r="K1726" t="s">
        <v>552</v>
      </c>
      <c r="L1726" t="s">
        <v>233</v>
      </c>
      <c r="M1726" t="s">
        <v>6</v>
      </c>
    </row>
    <row r="1727" spans="1:13" x14ac:dyDescent="0.25">
      <c r="A1727" s="3" t="s">
        <v>232</v>
      </c>
      <c r="B1727" s="4">
        <v>3</v>
      </c>
      <c r="C1727" s="4"/>
      <c r="D1727" s="4" t="s">
        <v>233</v>
      </c>
      <c r="E1727" s="4" t="s">
        <v>6</v>
      </c>
      <c r="F1727">
        <f>COUNTIFS($D$2:D1727,D1727)</f>
        <v>2</v>
      </c>
      <c r="G1727" t="str">
        <f t="shared" si="26"/>
        <v>3871V</v>
      </c>
      <c r="H1727">
        <v>5.4645821999999997</v>
      </c>
      <c r="I1727">
        <v>52.174911199999997</v>
      </c>
      <c r="J1727" t="s">
        <v>551</v>
      </c>
      <c r="K1727" t="s">
        <v>356</v>
      </c>
      <c r="L1727" t="s">
        <v>233</v>
      </c>
      <c r="M1727" t="s">
        <v>6</v>
      </c>
    </row>
    <row r="1728" spans="1:13" x14ac:dyDescent="0.25">
      <c r="A1728" s="3" t="s">
        <v>232</v>
      </c>
      <c r="B1728" s="4">
        <v>6</v>
      </c>
      <c r="C1728" s="4"/>
      <c r="D1728" s="4" t="s">
        <v>233</v>
      </c>
      <c r="E1728" s="4" t="s">
        <v>6</v>
      </c>
      <c r="F1728">
        <f>COUNTIFS($D$2:D1728,D1728)</f>
        <v>3</v>
      </c>
      <c r="G1728" t="str">
        <f t="shared" si="26"/>
        <v>3871V</v>
      </c>
      <c r="H1728">
        <v>5.4641142</v>
      </c>
      <c r="I1728">
        <v>52.1747947</v>
      </c>
      <c r="J1728" t="s">
        <v>551</v>
      </c>
      <c r="K1728" t="s">
        <v>262</v>
      </c>
      <c r="L1728" t="s">
        <v>233</v>
      </c>
      <c r="M1728" t="s">
        <v>6</v>
      </c>
    </row>
    <row r="1729" spans="1:13" x14ac:dyDescent="0.25">
      <c r="A1729" s="3" t="s">
        <v>232</v>
      </c>
      <c r="B1729" s="4">
        <v>23</v>
      </c>
      <c r="C1729" s="4"/>
      <c r="D1729" s="4" t="s">
        <v>233</v>
      </c>
      <c r="E1729" s="4" t="s">
        <v>6</v>
      </c>
      <c r="F1729">
        <f>COUNTIFS($D$2:D1729,D1729)</f>
        <v>4</v>
      </c>
      <c r="G1729" t="str">
        <f t="shared" si="26"/>
        <v>3871V</v>
      </c>
      <c r="H1729">
        <v>5.464531</v>
      </c>
      <c r="I1729">
        <v>52.174112000000001</v>
      </c>
      <c r="J1729" t="s">
        <v>551</v>
      </c>
      <c r="K1729" t="s">
        <v>384</v>
      </c>
      <c r="L1729" t="s">
        <v>233</v>
      </c>
      <c r="M1729" t="s">
        <v>6</v>
      </c>
    </row>
    <row r="1730" spans="1:13" x14ac:dyDescent="0.25">
      <c r="A1730" s="3" t="s">
        <v>232</v>
      </c>
      <c r="B1730" s="4">
        <v>25</v>
      </c>
      <c r="C1730" s="4"/>
      <c r="D1730" s="4" t="s">
        <v>233</v>
      </c>
      <c r="E1730" s="4" t="s">
        <v>6</v>
      </c>
      <c r="F1730">
        <f>COUNTIFS($D$2:D1730,D1730)</f>
        <v>5</v>
      </c>
      <c r="G1730" t="str">
        <f t="shared" ref="G1730:G1739" si="27">LEFT(A1730,5)</f>
        <v>3871V</v>
      </c>
      <c r="H1730">
        <v>5.4645358000000002</v>
      </c>
      <c r="I1730">
        <v>52.174058500000001</v>
      </c>
      <c r="J1730" t="s">
        <v>551</v>
      </c>
      <c r="K1730" t="s">
        <v>385</v>
      </c>
      <c r="L1730" t="s">
        <v>233</v>
      </c>
      <c r="M1730" t="s">
        <v>6</v>
      </c>
    </row>
    <row r="1731" spans="1:13" x14ac:dyDescent="0.25">
      <c r="A1731" s="3" t="s">
        <v>234</v>
      </c>
      <c r="B1731" s="4">
        <v>1</v>
      </c>
      <c r="C1731" s="4"/>
      <c r="D1731" s="4" t="s">
        <v>235</v>
      </c>
      <c r="E1731" s="4" t="s">
        <v>6</v>
      </c>
      <c r="F1731">
        <f>COUNTIFS($D$2:D1731,D1731)</f>
        <v>1</v>
      </c>
      <c r="G1731" t="str">
        <f t="shared" si="27"/>
        <v>3871V</v>
      </c>
      <c r="H1731">
        <v>5.4628866</v>
      </c>
      <c r="I1731">
        <v>52.1750112</v>
      </c>
      <c r="J1731" t="s">
        <v>553</v>
      </c>
      <c r="K1731" t="s">
        <v>355</v>
      </c>
      <c r="L1731" t="s">
        <v>235</v>
      </c>
      <c r="M1731" t="s">
        <v>6</v>
      </c>
    </row>
    <row r="1732" spans="1:13" x14ac:dyDescent="0.25">
      <c r="A1732" s="3" t="s">
        <v>234</v>
      </c>
      <c r="B1732" s="4">
        <v>3</v>
      </c>
      <c r="C1732" s="4"/>
      <c r="D1732" s="4" t="s">
        <v>235</v>
      </c>
      <c r="E1732" s="4" t="s">
        <v>6</v>
      </c>
      <c r="F1732">
        <f>COUNTIFS($D$2:D1732,D1732)</f>
        <v>2</v>
      </c>
      <c r="G1732" t="str">
        <f t="shared" si="27"/>
        <v>3871V</v>
      </c>
      <c r="H1732">
        <v>5.4629596999999999</v>
      </c>
      <c r="I1732">
        <v>52.1750112</v>
      </c>
      <c r="J1732" t="s">
        <v>553</v>
      </c>
      <c r="K1732" t="s">
        <v>356</v>
      </c>
      <c r="L1732" t="s">
        <v>235</v>
      </c>
      <c r="M1732" t="s">
        <v>6</v>
      </c>
    </row>
    <row r="1733" spans="1:13" x14ac:dyDescent="0.25">
      <c r="A1733" s="3" t="s">
        <v>234</v>
      </c>
      <c r="B1733" s="4">
        <v>5</v>
      </c>
      <c r="C1733" s="4"/>
      <c r="D1733" s="4" t="s">
        <v>235</v>
      </c>
      <c r="E1733" s="4" t="s">
        <v>6</v>
      </c>
      <c r="F1733">
        <f>COUNTIFS($D$2:D1733,D1733)</f>
        <v>3</v>
      </c>
      <c r="G1733" t="str">
        <f t="shared" si="27"/>
        <v>3871V</v>
      </c>
      <c r="H1733">
        <v>5.4630619999999999</v>
      </c>
      <c r="I1733">
        <v>52.175020099999998</v>
      </c>
      <c r="J1733" t="s">
        <v>553</v>
      </c>
      <c r="K1733" t="s">
        <v>357</v>
      </c>
      <c r="L1733" t="s">
        <v>235</v>
      </c>
      <c r="M1733" t="s">
        <v>6</v>
      </c>
    </row>
    <row r="1734" spans="1:13" x14ac:dyDescent="0.25">
      <c r="A1734" s="3" t="s">
        <v>234</v>
      </c>
      <c r="B1734" s="4">
        <v>7</v>
      </c>
      <c r="C1734" s="4"/>
      <c r="D1734" s="4" t="s">
        <v>235</v>
      </c>
      <c r="E1734" s="4" t="s">
        <v>6</v>
      </c>
      <c r="F1734">
        <f>COUNTIFS($D$2:D1734,D1734)</f>
        <v>4</v>
      </c>
      <c r="G1734" t="str">
        <f t="shared" si="27"/>
        <v>3871V</v>
      </c>
      <c r="H1734">
        <v>5.4631496999999998</v>
      </c>
      <c r="I1734">
        <v>52.175020000000004</v>
      </c>
      <c r="J1734" t="s">
        <v>553</v>
      </c>
      <c r="K1734" t="s">
        <v>358</v>
      </c>
      <c r="L1734" t="s">
        <v>235</v>
      </c>
      <c r="M1734" t="s">
        <v>6</v>
      </c>
    </row>
    <row r="1735" spans="1:13" x14ac:dyDescent="0.25">
      <c r="A1735" s="3" t="s">
        <v>234</v>
      </c>
      <c r="B1735" s="4">
        <v>9</v>
      </c>
      <c r="C1735" s="4"/>
      <c r="D1735" s="4" t="s">
        <v>235</v>
      </c>
      <c r="E1735" s="4" t="s">
        <v>6</v>
      </c>
      <c r="F1735">
        <f>COUNTIFS($D$2:D1735,D1735)</f>
        <v>5</v>
      </c>
      <c r="G1735" t="str">
        <f t="shared" si="27"/>
        <v>3871V</v>
      </c>
      <c r="H1735">
        <v>5.4632521000000001</v>
      </c>
      <c r="I1735">
        <v>52.175028900000001</v>
      </c>
      <c r="J1735" t="s">
        <v>553</v>
      </c>
      <c r="K1735" t="s">
        <v>382</v>
      </c>
      <c r="L1735" t="s">
        <v>235</v>
      </c>
      <c r="M1735" t="s">
        <v>6</v>
      </c>
    </row>
    <row r="1736" spans="1:13" x14ac:dyDescent="0.25">
      <c r="A1736" s="3" t="s">
        <v>234</v>
      </c>
      <c r="B1736" s="4">
        <v>11</v>
      </c>
      <c r="C1736" s="4"/>
      <c r="D1736" s="4" t="s">
        <v>235</v>
      </c>
      <c r="E1736" s="4" t="s">
        <v>6</v>
      </c>
      <c r="F1736">
        <f>COUNTIFS($D$2:D1736,D1736)</f>
        <v>6</v>
      </c>
      <c r="G1736" t="str">
        <f t="shared" si="27"/>
        <v>3871V</v>
      </c>
      <c r="H1736">
        <v>5.4633251999999999</v>
      </c>
      <c r="I1736">
        <v>52.175028900000001</v>
      </c>
      <c r="J1736" t="s">
        <v>553</v>
      </c>
      <c r="K1736" t="s">
        <v>391</v>
      </c>
      <c r="L1736" t="s">
        <v>235</v>
      </c>
      <c r="M1736" t="s">
        <v>6</v>
      </c>
    </row>
    <row r="1737" spans="1:13" x14ac:dyDescent="0.25">
      <c r="A1737" s="3" t="s">
        <v>234</v>
      </c>
      <c r="B1737" s="4">
        <v>13</v>
      </c>
      <c r="C1737" s="4"/>
      <c r="D1737" s="4" t="s">
        <v>235</v>
      </c>
      <c r="E1737" s="4" t="s">
        <v>6</v>
      </c>
      <c r="F1737">
        <f>COUNTIFS($D$2:D1737,D1737)</f>
        <v>7</v>
      </c>
      <c r="G1737" t="str">
        <f t="shared" si="27"/>
        <v>3871V</v>
      </c>
      <c r="H1737">
        <v>5.4634274999999999</v>
      </c>
      <c r="I1737">
        <v>52.1750288</v>
      </c>
      <c r="J1737" t="s">
        <v>553</v>
      </c>
      <c r="K1737" t="s">
        <v>359</v>
      </c>
      <c r="L1737" t="s">
        <v>235</v>
      </c>
      <c r="M1737" t="s">
        <v>6</v>
      </c>
    </row>
    <row r="1738" spans="1:13" x14ac:dyDescent="0.25">
      <c r="A1738" s="3" t="s">
        <v>234</v>
      </c>
      <c r="B1738" s="4">
        <v>15</v>
      </c>
      <c r="C1738" s="4"/>
      <c r="D1738" s="4" t="s">
        <v>235</v>
      </c>
      <c r="E1738" s="4" t="s">
        <v>6</v>
      </c>
      <c r="F1738">
        <f>COUNTIFS($D$2:D1738,D1738)</f>
        <v>8</v>
      </c>
      <c r="G1738" t="str">
        <f t="shared" si="27"/>
        <v>3871V</v>
      </c>
      <c r="H1738">
        <v>5.4635151999999998</v>
      </c>
      <c r="I1738">
        <v>52.175037799999998</v>
      </c>
      <c r="J1738" t="s">
        <v>553</v>
      </c>
      <c r="K1738" t="s">
        <v>383</v>
      </c>
      <c r="L1738" t="s">
        <v>235</v>
      </c>
      <c r="M1738" t="s">
        <v>6</v>
      </c>
    </row>
    <row r="1739" spans="1:13" x14ac:dyDescent="0.25">
      <c r="A1739" s="3" t="s">
        <v>234</v>
      </c>
      <c r="B1739" s="4">
        <v>27</v>
      </c>
      <c r="C1739" s="4"/>
      <c r="D1739" s="4" t="s">
        <v>235</v>
      </c>
      <c r="E1739" s="4" t="s">
        <v>6</v>
      </c>
      <c r="F1739">
        <f>COUNTIFS($D$2:D1739,D1739)</f>
        <v>9</v>
      </c>
      <c r="G1739" t="str">
        <f t="shared" si="27"/>
        <v>3871V</v>
      </c>
      <c r="H1739">
        <v>5.4641438999999998</v>
      </c>
      <c r="I1739">
        <v>52.175055299999997</v>
      </c>
      <c r="J1739" t="s">
        <v>553</v>
      </c>
      <c r="K1739" t="s">
        <v>393</v>
      </c>
      <c r="L1739" t="s">
        <v>235</v>
      </c>
      <c r="M1739" t="s">
        <v>6</v>
      </c>
    </row>
  </sheetData>
  <autoFilter ref="A1:M1" xr:uid="{420123B4-702A-8245-8B04-16DD89417930}"/>
  <sortState xmlns:xlrd2="http://schemas.microsoft.com/office/spreadsheetml/2017/richdata2" ref="A2:G1739">
    <sortCondition ref="G2:G1739"/>
    <sortCondition ref="A2:A1739"/>
    <sortCondition ref="D2:D1739"/>
    <sortCondition ref="B2:B17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2F55-E48C-40D7-AFBA-63336100A4A3}">
  <dimension ref="A1:E86"/>
  <sheetViews>
    <sheetView topLeftCell="A66" workbookViewId="0">
      <selection activeCell="C87" sqref="C87"/>
    </sheetView>
  </sheetViews>
  <sheetFormatPr defaultRowHeight="15.75" x14ac:dyDescent="0.25"/>
  <cols>
    <col min="1" max="1" width="9" style="11"/>
    <col min="2" max="2" width="21.125" customWidth="1"/>
    <col min="4" max="4" width="23.625" customWidth="1"/>
  </cols>
  <sheetData>
    <row r="1" spans="1:4" x14ac:dyDescent="0.25">
      <c r="A1" s="6" t="s">
        <v>237</v>
      </c>
      <c r="B1" s="5" t="s">
        <v>238</v>
      </c>
      <c r="C1" s="5" t="s">
        <v>239</v>
      </c>
    </row>
    <row r="2" spans="1:4" x14ac:dyDescent="0.25">
      <c r="A2" s="6">
        <v>10</v>
      </c>
      <c r="B2" s="5" t="s">
        <v>184</v>
      </c>
      <c r="C2" s="5" t="s">
        <v>240</v>
      </c>
      <c r="D2" t="str">
        <f>VLOOKUP(B2,'Hoevelaken-adressenlijst'!$A$1:$E$1739,1)</f>
        <v>3871VM</v>
      </c>
    </row>
    <row r="3" spans="1:4" x14ac:dyDescent="0.25">
      <c r="A3" s="6">
        <v>6</v>
      </c>
      <c r="B3" s="5" t="s">
        <v>114</v>
      </c>
      <c r="C3" s="7" t="s">
        <v>241</v>
      </c>
      <c r="D3" t="str">
        <f>VLOOKUP(B3,'Hoevelaken-adressenlijst'!$A$1:$E$1739,1)</f>
        <v>3871VM</v>
      </c>
    </row>
    <row r="4" spans="1:4" x14ac:dyDescent="0.25">
      <c r="A4" s="6">
        <v>29</v>
      </c>
      <c r="B4" s="5" t="s">
        <v>49</v>
      </c>
      <c r="C4" s="5" t="s">
        <v>242</v>
      </c>
      <c r="D4" t="str">
        <f>VLOOKUP(B4,'Hoevelaken-adressenlijst'!$A$1:$E$1739,1)</f>
        <v>3871VM</v>
      </c>
    </row>
    <row r="5" spans="1:4" x14ac:dyDescent="0.25">
      <c r="A5" s="6">
        <v>28</v>
      </c>
      <c r="B5" s="5" t="s">
        <v>222</v>
      </c>
      <c r="C5" s="5" t="s">
        <v>243</v>
      </c>
      <c r="D5" t="str">
        <f>VLOOKUP(B5,'Hoevelaken-adressenlijst'!$A$1:$E$1739,1)</f>
        <v>3871VM</v>
      </c>
    </row>
    <row r="6" spans="1:4" x14ac:dyDescent="0.25">
      <c r="A6" s="6">
        <v>1</v>
      </c>
      <c r="B6" s="5" t="s">
        <v>45</v>
      </c>
      <c r="C6" s="5" t="s">
        <v>240</v>
      </c>
      <c r="D6" t="str">
        <f>VLOOKUP(B6,'Hoevelaken-adressenlijst'!$A$1:$E$1739,1)</f>
        <v>3871VM</v>
      </c>
    </row>
    <row r="7" spans="1:4" x14ac:dyDescent="0.25">
      <c r="A7" s="6">
        <v>5</v>
      </c>
      <c r="B7" s="5" t="s">
        <v>233</v>
      </c>
      <c r="C7" s="5" t="s">
        <v>243</v>
      </c>
      <c r="D7" t="str">
        <f>VLOOKUP(B7,'Hoevelaken-adressenlijst'!$A$1:$E$1739,1)</f>
        <v>3871VM</v>
      </c>
    </row>
    <row r="8" spans="1:4" x14ac:dyDescent="0.25">
      <c r="A8" s="6">
        <v>5</v>
      </c>
      <c r="B8" s="5" t="s">
        <v>31</v>
      </c>
      <c r="C8" s="5"/>
      <c r="D8" t="str">
        <f>VLOOKUP(B8,'Hoevelaken-adressenlijst'!$A$1:$E$1739,1)</f>
        <v>3871VM</v>
      </c>
    </row>
    <row r="9" spans="1:4" x14ac:dyDescent="0.25">
      <c r="A9" s="6">
        <v>8</v>
      </c>
      <c r="B9" s="5" t="s">
        <v>69</v>
      </c>
      <c r="C9" s="5" t="s">
        <v>242</v>
      </c>
      <c r="D9" t="str">
        <f>VLOOKUP(B9,'Hoevelaken-adressenlijst'!$A$1:$E$1739,1)</f>
        <v>3871VM</v>
      </c>
    </row>
    <row r="10" spans="1:4" x14ac:dyDescent="0.25">
      <c r="A10" s="6">
        <v>12</v>
      </c>
      <c r="B10" s="5" t="s">
        <v>162</v>
      </c>
      <c r="C10" s="5" t="s">
        <v>242</v>
      </c>
      <c r="D10" t="str">
        <f>VLOOKUP(B10,'Hoevelaken-adressenlijst'!$A$1:$E$1739,1)</f>
        <v>3871VM</v>
      </c>
    </row>
    <row r="11" spans="1:4" x14ac:dyDescent="0.25">
      <c r="A11" s="6">
        <v>23</v>
      </c>
      <c r="B11" s="5" t="s">
        <v>60</v>
      </c>
      <c r="C11" s="5" t="s">
        <v>244</v>
      </c>
      <c r="D11" t="str">
        <f>VLOOKUP(B11,'Hoevelaken-adressenlijst'!$A$1:$E$1739,1)</f>
        <v>3871VM</v>
      </c>
    </row>
    <row r="12" spans="1:4" x14ac:dyDescent="0.25">
      <c r="A12" s="6">
        <v>14</v>
      </c>
      <c r="B12" s="5" t="s">
        <v>65</v>
      </c>
      <c r="C12" s="5" t="s">
        <v>244</v>
      </c>
      <c r="D12" t="str">
        <f>VLOOKUP(B12,'Hoevelaken-adressenlijst'!$A$1:$E$1739,1)</f>
        <v>3871VM</v>
      </c>
    </row>
    <row r="13" spans="1:4" x14ac:dyDescent="0.25">
      <c r="A13" s="6">
        <v>8</v>
      </c>
      <c r="B13" s="5" t="s">
        <v>170</v>
      </c>
      <c r="C13" s="5" t="s">
        <v>244</v>
      </c>
      <c r="D13" t="str">
        <f>VLOOKUP(B13,'Hoevelaken-adressenlijst'!$A$1:$E$1739,1)</f>
        <v>3871VM</v>
      </c>
    </row>
    <row r="14" spans="1:4" x14ac:dyDescent="0.25">
      <c r="A14" s="6">
        <v>2</v>
      </c>
      <c r="B14" s="5" t="s">
        <v>110</v>
      </c>
      <c r="C14" s="5"/>
      <c r="D14" t="str">
        <f>VLOOKUP(B14,'Hoevelaken-adressenlijst'!$A$1:$E$1739,1)</f>
        <v>3871VM</v>
      </c>
    </row>
    <row r="15" spans="1:4" x14ac:dyDescent="0.25">
      <c r="A15" s="6">
        <v>15</v>
      </c>
      <c r="B15" s="5" t="s">
        <v>86</v>
      </c>
      <c r="C15" s="5" t="s">
        <v>244</v>
      </c>
      <c r="D15" t="str">
        <f>VLOOKUP(B15,'Hoevelaken-adressenlijst'!$A$1:$E$1739,1)</f>
        <v>3871VM</v>
      </c>
    </row>
    <row r="16" spans="1:4" x14ac:dyDescent="0.25">
      <c r="A16" s="6">
        <v>38</v>
      </c>
      <c r="B16" s="5" t="s">
        <v>214</v>
      </c>
      <c r="C16" s="5" t="s">
        <v>253</v>
      </c>
      <c r="D16" t="str">
        <f>VLOOKUP(B16,'Hoevelaken-adressenlijst'!$A$1:$E$1739,1)</f>
        <v>3871VM</v>
      </c>
    </row>
    <row r="17" spans="1:4" x14ac:dyDescent="0.25">
      <c r="A17" s="6">
        <v>48</v>
      </c>
      <c r="B17" s="5" t="s">
        <v>35</v>
      </c>
      <c r="C17" s="5" t="s">
        <v>240</v>
      </c>
      <c r="D17" t="str">
        <f>VLOOKUP(B17,'Hoevelaken-adressenlijst'!$A$1:$E$1739,1)</f>
        <v>3871VM</v>
      </c>
    </row>
    <row r="18" spans="1:4" x14ac:dyDescent="0.25">
      <c r="A18" s="6">
        <v>6</v>
      </c>
      <c r="B18" s="5" t="s">
        <v>220</v>
      </c>
      <c r="C18" s="5" t="s">
        <v>243</v>
      </c>
      <c r="D18" t="str">
        <f>VLOOKUP(B18,'Hoevelaken-adressenlijst'!$A$1:$E$1739,1)</f>
        <v>3871VM</v>
      </c>
    </row>
    <row r="19" spans="1:4" x14ac:dyDescent="0.25">
      <c r="A19" s="6">
        <v>54</v>
      </c>
      <c r="B19" s="5" t="s">
        <v>105</v>
      </c>
      <c r="C19" s="7" t="s">
        <v>241</v>
      </c>
      <c r="D19" t="str">
        <f>VLOOKUP(B19,'Hoevelaken-adressenlijst'!$A$1:$E$1739,1)</f>
        <v>3871VM</v>
      </c>
    </row>
    <row r="20" spans="1:4" x14ac:dyDescent="0.25">
      <c r="A20" s="6">
        <v>14</v>
      </c>
      <c r="B20" s="5" t="s">
        <v>67</v>
      </c>
      <c r="C20" s="5" t="s">
        <v>244</v>
      </c>
      <c r="D20" t="str">
        <f>VLOOKUP(B20,'Hoevelaken-adressenlijst'!$A$1:$E$1739,1)</f>
        <v>3871VM</v>
      </c>
    </row>
    <row r="21" spans="1:4" x14ac:dyDescent="0.25">
      <c r="A21" s="6">
        <v>16</v>
      </c>
      <c r="B21" s="5" t="s">
        <v>164</v>
      </c>
      <c r="C21" s="5" t="s">
        <v>242</v>
      </c>
      <c r="D21" t="str">
        <f>VLOOKUP(B21,'Hoevelaken-adressenlijst'!$A$1:$E$1739,1)</f>
        <v>3871VM</v>
      </c>
    </row>
    <row r="22" spans="1:4" x14ac:dyDescent="0.25">
      <c r="A22" s="6">
        <v>7</v>
      </c>
      <c r="B22" s="5" t="s">
        <v>73</v>
      </c>
      <c r="C22" s="5" t="s">
        <v>242</v>
      </c>
      <c r="D22" t="str">
        <f>VLOOKUP(B22,'Hoevelaken-adressenlijst'!$A$1:$E$1739,1)</f>
        <v>3871VM</v>
      </c>
    </row>
    <row r="23" spans="1:4" x14ac:dyDescent="0.25">
      <c r="A23" s="6">
        <v>2</v>
      </c>
      <c r="B23" s="5" t="s">
        <v>188</v>
      </c>
      <c r="C23" s="5" t="s">
        <v>240</v>
      </c>
      <c r="D23" t="str">
        <f>VLOOKUP(B23,'Hoevelaken-adressenlijst'!$A$1:$E$1739,1)</f>
        <v>3871VM</v>
      </c>
    </row>
    <row r="24" spans="1:4" x14ac:dyDescent="0.25">
      <c r="A24" s="6">
        <v>10</v>
      </c>
      <c r="B24" s="5" t="s">
        <v>182</v>
      </c>
      <c r="C24" s="5"/>
      <c r="D24" t="str">
        <f>VLOOKUP(B24,'Hoevelaken-adressenlijst'!$A$1:$E$1739,1)</f>
        <v>3871VM</v>
      </c>
    </row>
    <row r="25" spans="1:4" x14ac:dyDescent="0.25">
      <c r="A25" s="6">
        <v>2</v>
      </c>
      <c r="B25" s="5" t="s">
        <v>166</v>
      </c>
      <c r="C25" s="5" t="s">
        <v>242</v>
      </c>
      <c r="D25" t="str">
        <f>VLOOKUP(B25,'Hoevelaken-adressenlijst'!$A$1:$E$1739,1)</f>
        <v>3871VM</v>
      </c>
    </row>
    <row r="26" spans="1:4" x14ac:dyDescent="0.25">
      <c r="A26" s="6">
        <v>22</v>
      </c>
      <c r="B26" s="5" t="s">
        <v>180</v>
      </c>
      <c r="C26" s="5" t="s">
        <v>244</v>
      </c>
      <c r="D26" t="str">
        <f>VLOOKUP(B26,'Hoevelaken-adressenlijst'!$A$1:$E$1739,1)</f>
        <v>3871VM</v>
      </c>
    </row>
    <row r="27" spans="1:4" x14ac:dyDescent="0.25">
      <c r="A27" s="6">
        <v>17</v>
      </c>
      <c r="B27" s="5" t="s">
        <v>205</v>
      </c>
      <c r="C27" s="5" t="s">
        <v>253</v>
      </c>
      <c r="D27" t="str">
        <f>VLOOKUP(B27,'Hoevelaken-adressenlijst'!$A$1:$E$1739,1)</f>
        <v>3871VM</v>
      </c>
    </row>
    <row r="28" spans="1:4" x14ac:dyDescent="0.25">
      <c r="A28" s="6">
        <v>8</v>
      </c>
      <c r="B28" s="5" t="s">
        <v>174</v>
      </c>
      <c r="C28" s="5" t="s">
        <v>244</v>
      </c>
      <c r="D28" t="str">
        <f>VLOOKUP(B28,'Hoevelaken-adressenlijst'!$A$1:$E$1739,1)</f>
        <v>3871VM</v>
      </c>
    </row>
    <row r="29" spans="1:4" x14ac:dyDescent="0.25">
      <c r="A29" s="10">
        <v>5</v>
      </c>
      <c r="B29" s="8" t="s">
        <v>101</v>
      </c>
      <c r="C29" s="5" t="s">
        <v>254</v>
      </c>
      <c r="D29" t="str">
        <f>VLOOKUP(B29,'Hoevelaken-adressenlijst'!$A$1:$E$1739,1)</f>
        <v>3871VM</v>
      </c>
    </row>
    <row r="30" spans="1:4" x14ac:dyDescent="0.25">
      <c r="A30" s="6">
        <v>20</v>
      </c>
      <c r="B30" s="5" t="s">
        <v>172</v>
      </c>
      <c r="C30" s="5" t="s">
        <v>244</v>
      </c>
      <c r="D30" t="str">
        <f>VLOOKUP(B30,'Hoevelaken-adressenlijst'!$A$1:$E$1739,1)</f>
        <v>3871VM</v>
      </c>
    </row>
    <row r="31" spans="1:4" x14ac:dyDescent="0.25">
      <c r="A31" s="6">
        <v>71</v>
      </c>
      <c r="B31" s="5" t="s">
        <v>227</v>
      </c>
      <c r="C31" s="5" t="s">
        <v>242</v>
      </c>
      <c r="D31" t="str">
        <f>VLOOKUP(B31,'Hoevelaken-adressenlijst'!$A$1:$E$1739,1)</f>
        <v>3871VM</v>
      </c>
    </row>
    <row r="32" spans="1:4" x14ac:dyDescent="0.25">
      <c r="A32" s="6">
        <v>8</v>
      </c>
      <c r="B32" s="5" t="s">
        <v>37</v>
      </c>
      <c r="C32" s="5" t="s">
        <v>240</v>
      </c>
      <c r="D32" t="str">
        <f>VLOOKUP(B32,'Hoevelaken-adressenlijst'!$A$1:$E$1739,1)</f>
        <v>3871VM</v>
      </c>
    </row>
    <row r="33" spans="1:4" x14ac:dyDescent="0.25">
      <c r="A33" s="6">
        <v>16</v>
      </c>
      <c r="B33" s="5" t="s">
        <v>141</v>
      </c>
      <c r="C33" s="5" t="s">
        <v>254</v>
      </c>
      <c r="D33" t="str">
        <f>VLOOKUP(B33,'Hoevelaken-adressenlijst'!$A$1:$E$1739,1)</f>
        <v>3871VM</v>
      </c>
    </row>
    <row r="34" spans="1:4" x14ac:dyDescent="0.25">
      <c r="A34" s="6">
        <v>57</v>
      </c>
      <c r="B34" s="5" t="s">
        <v>23</v>
      </c>
      <c r="C34" s="5" t="s">
        <v>240</v>
      </c>
      <c r="D34" t="str">
        <f>VLOOKUP(B34,'Hoevelaken-adressenlijst'!$A$1:$E$1739,1)</f>
        <v>3871VM</v>
      </c>
    </row>
    <row r="35" spans="1:4" x14ac:dyDescent="0.25">
      <c r="A35" s="6">
        <v>47</v>
      </c>
      <c r="B35" s="5" t="s">
        <v>128</v>
      </c>
      <c r="C35" s="7" t="s">
        <v>241</v>
      </c>
      <c r="D35" t="str">
        <f>VLOOKUP(B35,'Hoevelaken-adressenlijst'!$A$1:$E$1739,1)</f>
        <v>3871VM</v>
      </c>
    </row>
    <row r="36" spans="1:4" x14ac:dyDescent="0.25">
      <c r="A36" s="6">
        <v>2</v>
      </c>
      <c r="B36" s="5" t="s">
        <v>178</v>
      </c>
      <c r="C36" s="5"/>
      <c r="D36" t="str">
        <f>VLOOKUP(B36,'Hoevelaken-adressenlijst'!$A$1:$E$1739,1)</f>
        <v>3871VM</v>
      </c>
    </row>
    <row r="37" spans="1:4" x14ac:dyDescent="0.25">
      <c r="A37" s="6">
        <v>12</v>
      </c>
      <c r="B37" s="5" t="s">
        <v>80</v>
      </c>
      <c r="C37" s="5" t="s">
        <v>243</v>
      </c>
      <c r="D37" t="str">
        <f>VLOOKUP(B37,'Hoevelaken-adressenlijst'!$A$1:$E$1739,1)</f>
        <v>3871VM</v>
      </c>
    </row>
    <row r="38" spans="1:4" x14ac:dyDescent="0.25">
      <c r="A38" s="6">
        <v>14</v>
      </c>
      <c r="B38" s="5" t="s">
        <v>145</v>
      </c>
      <c r="C38" s="5" t="s">
        <v>254</v>
      </c>
      <c r="D38" t="str">
        <f>VLOOKUP(B38,'Hoevelaken-adressenlijst'!$A$1:$E$1739,1)</f>
        <v>3871VM</v>
      </c>
    </row>
    <row r="39" spans="1:4" x14ac:dyDescent="0.25">
      <c r="A39" s="6">
        <v>5</v>
      </c>
      <c r="B39" s="5" t="s">
        <v>132</v>
      </c>
      <c r="C39" s="5"/>
      <c r="D39" t="str">
        <f>VLOOKUP(B39,'Hoevelaken-adressenlijst'!$A$1:$E$1739,1)</f>
        <v>3871VM</v>
      </c>
    </row>
    <row r="40" spans="1:4" x14ac:dyDescent="0.25">
      <c r="A40" s="6">
        <v>6</v>
      </c>
      <c r="B40" s="5" t="s">
        <v>47</v>
      </c>
      <c r="C40" s="5"/>
      <c r="D40" t="str">
        <f>VLOOKUP(B40,'Hoevelaken-adressenlijst'!$A$1:$E$1739,1)</f>
        <v>3871VM</v>
      </c>
    </row>
    <row r="41" spans="1:4" x14ac:dyDescent="0.25">
      <c r="A41" s="6">
        <v>6</v>
      </c>
      <c r="B41" s="5" t="s">
        <v>126</v>
      </c>
      <c r="C41" s="5"/>
      <c r="D41" t="str">
        <f>VLOOKUP(B41,'Hoevelaken-adressenlijst'!$A$1:$E$1739,1)</f>
        <v>3871VM</v>
      </c>
    </row>
    <row r="42" spans="1:4" x14ac:dyDescent="0.25">
      <c r="A42" s="6">
        <v>20</v>
      </c>
      <c r="B42" s="5" t="s">
        <v>136</v>
      </c>
      <c r="C42" s="5" t="s">
        <v>254</v>
      </c>
      <c r="D42" t="str">
        <f>VLOOKUP(B42,'Hoevelaken-adressenlijst'!$A$1:$E$1739,1)</f>
        <v>3871VM</v>
      </c>
    </row>
    <row r="43" spans="1:4" x14ac:dyDescent="0.25">
      <c r="A43" s="6">
        <v>10</v>
      </c>
      <c r="B43" s="5" t="s">
        <v>41</v>
      </c>
      <c r="C43" s="5"/>
      <c r="D43" t="str">
        <f>VLOOKUP(B43,'Hoevelaken-adressenlijst'!$A$1:$E$1739,1)</f>
        <v>3871VM</v>
      </c>
    </row>
    <row r="44" spans="1:4" x14ac:dyDescent="0.25">
      <c r="A44" s="6">
        <v>9</v>
      </c>
      <c r="B44" s="5" t="s">
        <v>235</v>
      </c>
      <c r="C44" s="7" t="s">
        <v>241</v>
      </c>
      <c r="D44" t="str">
        <f>VLOOKUP(B44,'Hoevelaken-adressenlijst'!$A$1:$E$1739,1)</f>
        <v>3871VM</v>
      </c>
    </row>
    <row r="45" spans="1:4" x14ac:dyDescent="0.25">
      <c r="A45" s="6">
        <v>24</v>
      </c>
      <c r="B45" s="5" t="s">
        <v>57</v>
      </c>
      <c r="C45" s="5" t="s">
        <v>243</v>
      </c>
      <c r="D45" t="str">
        <f>VLOOKUP(B45,'Hoevelaken-adressenlijst'!$A$1:$E$1739,1)</f>
        <v>3871VM</v>
      </c>
    </row>
    <row r="46" spans="1:4" x14ac:dyDescent="0.25">
      <c r="A46" s="6">
        <v>41</v>
      </c>
      <c r="B46" s="5" t="s">
        <v>91</v>
      </c>
      <c r="C46" s="5" t="s">
        <v>254</v>
      </c>
      <c r="D46" t="str">
        <f>VLOOKUP(B46,'Hoevelaken-adressenlijst'!$A$1:$E$1739,1)</f>
        <v>3871VM</v>
      </c>
    </row>
    <row r="47" spans="1:4" x14ac:dyDescent="0.25">
      <c r="A47" s="6">
        <v>16</v>
      </c>
      <c r="B47" s="5" t="s">
        <v>33</v>
      </c>
      <c r="C47" s="5" t="s">
        <v>240</v>
      </c>
      <c r="D47" t="str">
        <f>VLOOKUP(B47,'Hoevelaken-adressenlijst'!$A$1:$E$1739,1)</f>
        <v>3871VM</v>
      </c>
    </row>
    <row r="48" spans="1:4" x14ac:dyDescent="0.25">
      <c r="A48" s="6">
        <v>8</v>
      </c>
      <c r="B48" s="5" t="s">
        <v>39</v>
      </c>
      <c r="C48" s="5" t="s">
        <v>240</v>
      </c>
      <c r="D48" t="str">
        <f>VLOOKUP(B48,'Hoevelaken-adressenlijst'!$A$1:$E$1739,1)</f>
        <v>3871VM</v>
      </c>
    </row>
    <row r="49" spans="1:4" x14ac:dyDescent="0.25">
      <c r="A49" s="6">
        <v>18</v>
      </c>
      <c r="B49" s="5" t="s">
        <v>149</v>
      </c>
      <c r="C49" s="5" t="s">
        <v>254</v>
      </c>
      <c r="D49" t="str">
        <f>VLOOKUP(B49,'Hoevelaken-adressenlijst'!$A$1:$E$1739,1)</f>
        <v>3871VM</v>
      </c>
    </row>
    <row r="50" spans="1:4" x14ac:dyDescent="0.25">
      <c r="A50" s="6">
        <v>1</v>
      </c>
      <c r="B50" s="5" t="s">
        <v>112</v>
      </c>
      <c r="C50" s="5"/>
      <c r="D50" t="str">
        <f>VLOOKUP(B50,'Hoevelaken-adressenlijst'!$A$1:$E$1739,1)</f>
        <v>3871VM</v>
      </c>
    </row>
    <row r="51" spans="1:4" x14ac:dyDescent="0.25">
      <c r="A51" s="6">
        <v>61</v>
      </c>
      <c r="B51" s="5" t="s">
        <v>75</v>
      </c>
      <c r="C51" s="5" t="s">
        <v>243</v>
      </c>
      <c r="D51" t="str">
        <f>VLOOKUP(B51,'Hoevelaken-adressenlijst'!$A$1:$E$1739,1)</f>
        <v>3871VM</v>
      </c>
    </row>
    <row r="52" spans="1:4" x14ac:dyDescent="0.25">
      <c r="A52" s="6">
        <v>59</v>
      </c>
      <c r="B52" s="5" t="s">
        <v>9</v>
      </c>
      <c r="C52" s="5"/>
      <c r="D52" t="str">
        <f>VLOOKUP(B52,'Hoevelaken-adressenlijst'!$A$1:$E$1739,1)</f>
        <v>3871VM</v>
      </c>
    </row>
    <row r="53" spans="1:4" x14ac:dyDescent="0.25">
      <c r="A53" s="6">
        <v>6</v>
      </c>
      <c r="B53" s="5" t="s">
        <v>225</v>
      </c>
      <c r="C53" s="5"/>
      <c r="D53" t="str">
        <f>VLOOKUP(B53,'Hoevelaken-adressenlijst'!$A$1:$E$1739,1)</f>
        <v>3871VM</v>
      </c>
    </row>
    <row r="54" spans="1:4" x14ac:dyDescent="0.25">
      <c r="A54" s="6">
        <v>6</v>
      </c>
      <c r="B54" s="5" t="s">
        <v>71</v>
      </c>
      <c r="C54" s="5" t="s">
        <v>242</v>
      </c>
      <c r="D54" t="str">
        <f>VLOOKUP(B54,'Hoevelaken-adressenlijst'!$A$1:$E$1739,1)</f>
        <v>3871VM</v>
      </c>
    </row>
    <row r="55" spans="1:4" x14ac:dyDescent="0.25">
      <c r="A55" s="6">
        <v>39</v>
      </c>
      <c r="B55" s="5" t="s">
        <v>193</v>
      </c>
      <c r="C55" s="5" t="s">
        <v>240</v>
      </c>
      <c r="D55" t="str">
        <f>VLOOKUP(B55,'Hoevelaken-adressenlijst'!$A$1:$E$1739,1)</f>
        <v>3871VM</v>
      </c>
    </row>
    <row r="56" spans="1:4" x14ac:dyDescent="0.25">
      <c r="A56" s="6">
        <v>21</v>
      </c>
      <c r="B56" s="5" t="s">
        <v>186</v>
      </c>
      <c r="C56" s="5" t="s">
        <v>240</v>
      </c>
      <c r="D56" t="str">
        <f>VLOOKUP(B56,'Hoevelaken-adressenlijst'!$A$1:$E$1739,1)</f>
        <v>3871VM</v>
      </c>
    </row>
    <row r="57" spans="1:4" x14ac:dyDescent="0.25">
      <c r="A57" s="6">
        <v>25</v>
      </c>
      <c r="B57" s="5" t="s">
        <v>97</v>
      </c>
      <c r="C57" s="7" t="s">
        <v>241</v>
      </c>
      <c r="D57" t="str">
        <f>VLOOKUP(B57,'Hoevelaken-adressenlijst'!$A$1:$E$1739,1)</f>
        <v>3871VM</v>
      </c>
    </row>
    <row r="58" spans="1:4" x14ac:dyDescent="0.25">
      <c r="A58" s="6">
        <v>30</v>
      </c>
      <c r="B58" s="5" t="s">
        <v>198</v>
      </c>
      <c r="C58" s="5" t="s">
        <v>240</v>
      </c>
      <c r="D58" t="str">
        <f>VLOOKUP(B58,'Hoevelaken-adressenlijst'!$A$1:$E$1739,1)</f>
        <v>3871VM</v>
      </c>
    </row>
    <row r="59" spans="1:4" x14ac:dyDescent="0.25">
      <c r="A59" s="6">
        <v>3</v>
      </c>
      <c r="B59" s="5" t="s">
        <v>218</v>
      </c>
      <c r="C59" s="5" t="s">
        <v>253</v>
      </c>
      <c r="D59" t="str">
        <f>VLOOKUP(B59,'Hoevelaken-adressenlijst'!$A$1:$E$1739,1)</f>
        <v>3871VM</v>
      </c>
    </row>
    <row r="60" spans="1:4" x14ac:dyDescent="0.25">
      <c r="A60" s="6">
        <v>9</v>
      </c>
      <c r="B60" s="5" t="s">
        <v>118</v>
      </c>
      <c r="C60" s="5"/>
      <c r="D60" t="str">
        <f>VLOOKUP(B60,'Hoevelaken-adressenlijst'!$A$1:$E$1739,1)</f>
        <v>3871VM</v>
      </c>
    </row>
    <row r="61" spans="1:4" x14ac:dyDescent="0.25">
      <c r="A61" s="6">
        <v>15</v>
      </c>
      <c r="B61" s="5" t="s">
        <v>82</v>
      </c>
      <c r="C61" s="5" t="s">
        <v>243</v>
      </c>
      <c r="D61" t="str">
        <f>VLOOKUP(B61,'Hoevelaken-adressenlijst'!$A$1:$E$1739,1)</f>
        <v>3871VM</v>
      </c>
    </row>
    <row r="62" spans="1:4" x14ac:dyDescent="0.25">
      <c r="A62" s="6">
        <v>18</v>
      </c>
      <c r="B62" s="5" t="s">
        <v>245</v>
      </c>
      <c r="C62" s="5" t="s">
        <v>242</v>
      </c>
      <c r="D62" t="str">
        <f>VLOOKUP(B62,'Hoevelaken-adressenlijst'!$A$1:$E$1739,1)</f>
        <v>3871VM</v>
      </c>
    </row>
    <row r="63" spans="1:4" x14ac:dyDescent="0.25">
      <c r="A63" s="6">
        <v>8</v>
      </c>
      <c r="B63" s="5" t="s">
        <v>176</v>
      </c>
      <c r="C63" s="5" t="s">
        <v>244</v>
      </c>
      <c r="D63" t="str">
        <f>VLOOKUP(B63,'Hoevelaken-adressenlijst'!$A$1:$E$1739,1)</f>
        <v>3871VM</v>
      </c>
    </row>
    <row r="64" spans="1:4" x14ac:dyDescent="0.25">
      <c r="A64" s="6">
        <v>32</v>
      </c>
      <c r="B64" s="5" t="s">
        <v>207</v>
      </c>
      <c r="C64" s="5" t="s">
        <v>253</v>
      </c>
      <c r="D64" t="str">
        <f>VLOOKUP(B64,'Hoevelaken-adressenlijst'!$A$1:$E$1739,1)</f>
        <v>3871VM</v>
      </c>
    </row>
    <row r="65" spans="1:5" x14ac:dyDescent="0.25">
      <c r="A65" s="6">
        <v>19</v>
      </c>
      <c r="B65" s="5" t="s">
        <v>191</v>
      </c>
      <c r="C65" s="5"/>
      <c r="D65" t="str">
        <f>VLOOKUP(B65,'Hoevelaken-adressenlijst'!$A$1:$E$1739,1)</f>
        <v>3871VM</v>
      </c>
    </row>
    <row r="66" spans="1:5" x14ac:dyDescent="0.25">
      <c r="A66" s="6">
        <v>7</v>
      </c>
      <c r="B66" s="5" t="s">
        <v>103</v>
      </c>
      <c r="C66" s="5"/>
      <c r="D66" t="str">
        <f>VLOOKUP(B66,'Hoevelaken-adressenlijst'!$A$1:$E$1739,1)</f>
        <v>3871VM</v>
      </c>
    </row>
    <row r="67" spans="1:5" x14ac:dyDescent="0.25">
      <c r="A67" s="6">
        <v>53</v>
      </c>
      <c r="B67" s="5" t="s">
        <v>158</v>
      </c>
      <c r="C67" s="5" t="s">
        <v>242</v>
      </c>
      <c r="D67" t="str">
        <f>VLOOKUP(B67,'Hoevelaken-adressenlijst'!$A$1:$E$1739,1)</f>
        <v>3871VM</v>
      </c>
    </row>
    <row r="68" spans="1:5" x14ac:dyDescent="0.25">
      <c r="A68" s="6">
        <v>5</v>
      </c>
      <c r="B68" s="5" t="s">
        <v>212</v>
      </c>
      <c r="C68" s="5" t="s">
        <v>253</v>
      </c>
      <c r="D68" t="str">
        <f>VLOOKUP(B68,'Hoevelaken-adressenlijst'!$A$1:$E$1739,1)</f>
        <v>3871VM</v>
      </c>
      <c r="E68">
        <f>A16+A27+A59+A64+A68</f>
        <v>95</v>
      </c>
    </row>
    <row r="69" spans="1:5" x14ac:dyDescent="0.25">
      <c r="A69" s="6">
        <v>6</v>
      </c>
      <c r="B69" s="5" t="s">
        <v>134</v>
      </c>
      <c r="C69" s="7" t="s">
        <v>241</v>
      </c>
      <c r="D69" t="str">
        <f>VLOOKUP(B69,'Hoevelaken-adressenlijst'!$A$1:$E$1739,1)</f>
        <v>3871VM</v>
      </c>
    </row>
    <row r="70" spans="1:5" x14ac:dyDescent="0.25">
      <c r="A70" s="6">
        <v>33</v>
      </c>
      <c r="B70" s="5" t="s">
        <v>52</v>
      </c>
      <c r="C70" s="5"/>
      <c r="D70" t="str">
        <f>VLOOKUP(B70,'Hoevelaken-adressenlijst'!$A$1:$E$1739,1)</f>
        <v>3871VM</v>
      </c>
    </row>
    <row r="71" spans="1:5" x14ac:dyDescent="0.25">
      <c r="A71" s="6">
        <v>11</v>
      </c>
      <c r="B71" s="5" t="s">
        <v>43</v>
      </c>
      <c r="C71" s="5" t="s">
        <v>240</v>
      </c>
      <c r="D71" t="str">
        <f>VLOOKUP(B71,'Hoevelaken-adressenlijst'!$A$1:$E$1739,1)</f>
        <v>3871VM</v>
      </c>
    </row>
    <row r="72" spans="1:5" x14ac:dyDescent="0.25">
      <c r="A72" s="6">
        <v>6</v>
      </c>
      <c r="B72" s="5" t="s">
        <v>143</v>
      </c>
      <c r="C72" s="5" t="s">
        <v>254</v>
      </c>
      <c r="D72" t="str">
        <f>VLOOKUP(B72,'Hoevelaken-adressenlijst'!$A$1:$E$1739,1)</f>
        <v>3871VM</v>
      </c>
    </row>
    <row r="73" spans="1:5" x14ac:dyDescent="0.25">
      <c r="A73" s="6">
        <v>12</v>
      </c>
      <c r="B73" s="5" t="s">
        <v>147</v>
      </c>
      <c r="C73" s="5" t="s">
        <v>254</v>
      </c>
      <c r="D73" t="str">
        <f>VLOOKUP(B73,'Hoevelaken-adressenlijst'!$A$1:$E$1739,1)</f>
        <v>3871VM</v>
      </c>
    </row>
    <row r="74" spans="1:5" x14ac:dyDescent="0.25">
      <c r="A74" s="6">
        <v>14</v>
      </c>
      <c r="B74" s="5" t="s">
        <v>84</v>
      </c>
      <c r="C74" s="5"/>
      <c r="D74" t="str">
        <f>VLOOKUP(B74,'Hoevelaken-adressenlijst'!$A$1:$E$1739,1)</f>
        <v>3871VM</v>
      </c>
    </row>
    <row r="75" spans="1:5" x14ac:dyDescent="0.25">
      <c r="A75" s="6">
        <v>61</v>
      </c>
      <c r="B75" s="5" t="s">
        <v>154</v>
      </c>
      <c r="C75" s="5" t="s">
        <v>254</v>
      </c>
      <c r="D75" t="str">
        <f>VLOOKUP(B75,'Hoevelaken-adressenlijst'!$A$1:$E$1739,1)</f>
        <v>3871VM</v>
      </c>
    </row>
    <row r="76" spans="1:5" x14ac:dyDescent="0.25">
      <c r="A76" s="6">
        <v>11</v>
      </c>
      <c r="B76" s="5" t="s">
        <v>196</v>
      </c>
      <c r="C76" s="5" t="s">
        <v>240</v>
      </c>
      <c r="D76" t="str">
        <f>VLOOKUP(B76,'Hoevelaken-adressenlijst'!$A$1:$E$1739,1)</f>
        <v>3871VM</v>
      </c>
    </row>
    <row r="77" spans="1:5" x14ac:dyDescent="0.25">
      <c r="A77" s="6">
        <v>28</v>
      </c>
      <c r="B77" s="5" t="s">
        <v>89</v>
      </c>
      <c r="C77" s="7" t="s">
        <v>241</v>
      </c>
      <c r="D77" t="str">
        <f>VLOOKUP(B77,'Hoevelaken-adressenlijst'!$A$1:$E$1739,1)</f>
        <v>3871VM</v>
      </c>
    </row>
    <row r="78" spans="1:5" x14ac:dyDescent="0.25">
      <c r="A78" s="10">
        <v>34</v>
      </c>
      <c r="B78" s="8" t="s">
        <v>210</v>
      </c>
      <c r="C78" s="5" t="s">
        <v>240</v>
      </c>
      <c r="D78" t="str">
        <f>VLOOKUP(B78,'Hoevelaken-adressenlijst'!$A$1:$E$1739,1)</f>
        <v>3871VM</v>
      </c>
    </row>
    <row r="79" spans="1:5" x14ac:dyDescent="0.25">
      <c r="A79" s="10">
        <v>43</v>
      </c>
      <c r="B79" s="8" t="s">
        <v>138</v>
      </c>
      <c r="C79" s="8"/>
      <c r="D79" t="str">
        <f>VLOOKUP(B79,'Hoevelaken-adressenlijst'!$A$1:$E$1739,1)</f>
        <v>3871VM</v>
      </c>
    </row>
    <row r="80" spans="1:5" x14ac:dyDescent="0.25">
      <c r="A80" s="10">
        <v>26</v>
      </c>
      <c r="B80" s="8" t="s">
        <v>28</v>
      </c>
      <c r="C80" s="5" t="s">
        <v>240</v>
      </c>
      <c r="D80" t="str">
        <f>VLOOKUP(B80,'Hoevelaken-adressenlijst'!$A$1:$E$1739,1)</f>
        <v>3871VM</v>
      </c>
    </row>
    <row r="81" spans="1:5" x14ac:dyDescent="0.25">
      <c r="A81" s="10">
        <v>6</v>
      </c>
      <c r="B81" s="8" t="s">
        <v>120</v>
      </c>
      <c r="D81" t="str">
        <f>VLOOKUP(B81,'Hoevelaken-adressenlijst'!$A$1:$E$1739,1)</f>
        <v>3871VM</v>
      </c>
    </row>
    <row r="82" spans="1:5" x14ac:dyDescent="0.25">
      <c r="A82" s="10" t="s">
        <v>247</v>
      </c>
      <c r="B82" s="9" t="s">
        <v>19</v>
      </c>
      <c r="D82" t="str">
        <f>VLOOKUP(B82,'Hoevelaken-adressenlijst'!$A$1:$E$1739,1)</f>
        <v>3871VM</v>
      </c>
      <c r="E82" s="9"/>
    </row>
    <row r="83" spans="1:5" x14ac:dyDescent="0.25">
      <c r="A83" s="10" t="s">
        <v>248</v>
      </c>
      <c r="B83" t="s">
        <v>122</v>
      </c>
      <c r="D83" t="str">
        <f>VLOOKUP(B83,'Hoevelaken-adressenlijst'!$A$1:$E$1739,1)</f>
        <v>3871VM</v>
      </c>
    </row>
    <row r="84" spans="1:5" x14ac:dyDescent="0.25">
      <c r="A84" s="10">
        <v>17</v>
      </c>
      <c r="B84" s="8" t="s">
        <v>55</v>
      </c>
      <c r="D84" t="str">
        <f>VLOOKUP(B84,'Hoevelaken-adressenlijst'!$A$1:$E$1739,1)</f>
        <v>3871VM</v>
      </c>
    </row>
    <row r="85" spans="1:5" x14ac:dyDescent="0.25">
      <c r="A85" s="10">
        <v>29</v>
      </c>
      <c r="B85" s="8" t="s">
        <v>246</v>
      </c>
      <c r="C85" t="s">
        <v>244</v>
      </c>
      <c r="D85" t="str">
        <f>VLOOKUP(B85,'Hoevelaken-adressenlijst'!$A$1:$E$1739,1)</f>
        <v>3871VM</v>
      </c>
    </row>
    <row r="86" spans="1:5" x14ac:dyDescent="0.25">
      <c r="A86" s="10">
        <v>9</v>
      </c>
      <c r="B86" s="8" t="s">
        <v>116</v>
      </c>
      <c r="C86" s="8" t="s">
        <v>241</v>
      </c>
      <c r="D86" t="str">
        <f>VLOOKUP(B86,'Hoevelaken-adressenlijst'!$A$1:$E$1739,1)</f>
        <v>3871VM</v>
      </c>
    </row>
  </sheetData>
  <autoFilter ref="A1:D86" xr:uid="{49C22F55-E48C-40D7-AFBA-63336100A4A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5ADB-B6D3-47DA-892F-F996E086605D}">
  <dimension ref="A1:G97"/>
  <sheetViews>
    <sheetView topLeftCell="A61" workbookViewId="0">
      <selection activeCell="F1" sqref="F1:F1048576"/>
    </sheetView>
  </sheetViews>
  <sheetFormatPr defaultRowHeight="15.75" x14ac:dyDescent="0.25"/>
  <cols>
    <col min="2" max="2" width="4.375" customWidth="1"/>
    <col min="3" max="3" width="4" customWidth="1"/>
    <col min="4" max="4" width="14.875" customWidth="1"/>
    <col min="5" max="5" width="11.75" customWidth="1"/>
    <col min="6" max="6" width="5.5" hidden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25">
      <c r="A2" s="3" t="s">
        <v>181</v>
      </c>
      <c r="B2" s="4">
        <v>1</v>
      </c>
      <c r="C2" s="4"/>
      <c r="D2" s="4" t="s">
        <v>182</v>
      </c>
      <c r="E2" s="4" t="s">
        <v>6</v>
      </c>
      <c r="F2">
        <v>48</v>
      </c>
      <c r="G2" t="s">
        <v>249</v>
      </c>
    </row>
    <row r="3" spans="1:7" x14ac:dyDescent="0.25">
      <c r="A3" s="3" t="s">
        <v>181</v>
      </c>
      <c r="B3" s="4">
        <v>2</v>
      </c>
      <c r="C3" s="4"/>
      <c r="D3" s="4" t="s">
        <v>182</v>
      </c>
      <c r="E3" s="4" t="s">
        <v>6</v>
      </c>
      <c r="F3">
        <v>44</v>
      </c>
      <c r="G3" t="s">
        <v>249</v>
      </c>
    </row>
    <row r="4" spans="1:7" x14ac:dyDescent="0.25">
      <c r="A4" s="3" t="s">
        <v>181</v>
      </c>
      <c r="B4" s="4">
        <v>3</v>
      </c>
      <c r="C4" s="4"/>
      <c r="D4" s="4" t="s">
        <v>182</v>
      </c>
      <c r="E4" s="4" t="s">
        <v>6</v>
      </c>
      <c r="F4">
        <v>49</v>
      </c>
      <c r="G4" t="s">
        <v>249</v>
      </c>
    </row>
    <row r="5" spans="1:7" x14ac:dyDescent="0.25">
      <c r="A5" s="3" t="s">
        <v>181</v>
      </c>
      <c r="B5" s="4">
        <v>4</v>
      </c>
      <c r="C5" s="4"/>
      <c r="D5" s="4" t="s">
        <v>182</v>
      </c>
      <c r="E5" s="4" t="s">
        <v>6</v>
      </c>
      <c r="F5">
        <v>50</v>
      </c>
      <c r="G5" t="s">
        <v>249</v>
      </c>
    </row>
    <row r="6" spans="1:7" x14ac:dyDescent="0.25">
      <c r="A6" s="3" t="s">
        <v>181</v>
      </c>
      <c r="B6" s="4">
        <v>5</v>
      </c>
      <c r="C6" s="4"/>
      <c r="D6" s="4" t="s">
        <v>182</v>
      </c>
      <c r="E6" s="4" t="s">
        <v>6</v>
      </c>
      <c r="F6">
        <v>47</v>
      </c>
      <c r="G6" t="s">
        <v>249</v>
      </c>
    </row>
    <row r="7" spans="1:7" x14ac:dyDescent="0.25">
      <c r="A7" s="3" t="s">
        <v>181</v>
      </c>
      <c r="B7" s="4">
        <v>6</v>
      </c>
      <c r="C7" s="4"/>
      <c r="D7" s="4" t="s">
        <v>182</v>
      </c>
      <c r="E7" s="4" t="s">
        <v>6</v>
      </c>
      <c r="F7">
        <v>45</v>
      </c>
      <c r="G7" t="s">
        <v>249</v>
      </c>
    </row>
    <row r="8" spans="1:7" x14ac:dyDescent="0.25">
      <c r="A8" s="3" t="s">
        <v>181</v>
      </c>
      <c r="B8" s="4">
        <v>7</v>
      </c>
      <c r="C8" s="4"/>
      <c r="D8" s="4" t="s">
        <v>182</v>
      </c>
      <c r="E8" s="4" t="s">
        <v>6</v>
      </c>
      <c r="F8">
        <v>46</v>
      </c>
      <c r="G8" t="s">
        <v>249</v>
      </c>
    </row>
    <row r="9" spans="1:7" x14ac:dyDescent="0.25">
      <c r="A9" s="3" t="s">
        <v>181</v>
      </c>
      <c r="B9" s="4">
        <v>8</v>
      </c>
      <c r="C9" s="4"/>
      <c r="D9" s="4" t="s">
        <v>182</v>
      </c>
      <c r="E9" s="4" t="s">
        <v>6</v>
      </c>
      <c r="F9">
        <v>51</v>
      </c>
      <c r="G9" t="s">
        <v>249</v>
      </c>
    </row>
    <row r="10" spans="1:7" x14ac:dyDescent="0.25">
      <c r="A10" s="3" t="s">
        <v>181</v>
      </c>
      <c r="B10" s="4">
        <v>9</v>
      </c>
      <c r="C10" s="4"/>
      <c r="D10" s="4" t="s">
        <v>182</v>
      </c>
      <c r="E10" s="4" t="s">
        <v>6</v>
      </c>
      <c r="F10">
        <v>43</v>
      </c>
      <c r="G10" t="s">
        <v>249</v>
      </c>
    </row>
    <row r="11" spans="1:7" x14ac:dyDescent="0.25">
      <c r="A11" s="3" t="s">
        <v>181</v>
      </c>
      <c r="B11" s="4">
        <v>10</v>
      </c>
      <c r="C11" s="4"/>
      <c r="D11" s="4" t="s">
        <v>182</v>
      </c>
      <c r="E11" s="4" t="s">
        <v>6</v>
      </c>
      <c r="F11">
        <v>42</v>
      </c>
      <c r="G11" t="s">
        <v>249</v>
      </c>
    </row>
    <row r="12" spans="1:7" x14ac:dyDescent="0.25">
      <c r="A12" s="3" t="s">
        <v>183</v>
      </c>
      <c r="B12" s="4">
        <v>1</v>
      </c>
      <c r="C12" s="4"/>
      <c r="D12" s="4" t="s">
        <v>184</v>
      </c>
      <c r="E12" s="4" t="s">
        <v>6</v>
      </c>
      <c r="F12">
        <v>5</v>
      </c>
      <c r="G12" t="s">
        <v>249</v>
      </c>
    </row>
    <row r="13" spans="1:7" x14ac:dyDescent="0.25">
      <c r="A13" s="3" t="s">
        <v>183</v>
      </c>
      <c r="B13" s="4">
        <v>2</v>
      </c>
      <c r="C13" s="4"/>
      <c r="D13" s="4" t="s">
        <v>184</v>
      </c>
      <c r="E13" s="4" t="s">
        <v>6</v>
      </c>
      <c r="F13">
        <v>6</v>
      </c>
      <c r="G13" t="s">
        <v>249</v>
      </c>
    </row>
    <row r="14" spans="1:7" x14ac:dyDescent="0.25">
      <c r="A14" s="3" t="s">
        <v>183</v>
      </c>
      <c r="B14" s="4">
        <v>3</v>
      </c>
      <c r="C14" s="4"/>
      <c r="D14" s="4" t="s">
        <v>184</v>
      </c>
      <c r="E14" s="4" t="s">
        <v>6</v>
      </c>
      <c r="F14">
        <v>1</v>
      </c>
      <c r="G14" t="s">
        <v>249</v>
      </c>
    </row>
    <row r="15" spans="1:7" x14ac:dyDescent="0.25">
      <c r="A15" s="3" t="s">
        <v>183</v>
      </c>
      <c r="B15" s="4">
        <v>4</v>
      </c>
      <c r="C15" s="4"/>
      <c r="D15" s="4" t="s">
        <v>184</v>
      </c>
      <c r="E15" s="4" t="s">
        <v>6</v>
      </c>
      <c r="F15">
        <v>3</v>
      </c>
      <c r="G15" t="s">
        <v>249</v>
      </c>
    </row>
    <row r="16" spans="1:7" x14ac:dyDescent="0.25">
      <c r="A16" s="3" t="s">
        <v>183</v>
      </c>
      <c r="B16" s="4">
        <v>5</v>
      </c>
      <c r="C16" s="4"/>
      <c r="D16" s="4" t="s">
        <v>184</v>
      </c>
      <c r="E16" s="4" t="s">
        <v>6</v>
      </c>
      <c r="F16">
        <v>8</v>
      </c>
      <c r="G16" t="s">
        <v>249</v>
      </c>
    </row>
    <row r="17" spans="1:7" x14ac:dyDescent="0.25">
      <c r="A17" s="3" t="s">
        <v>183</v>
      </c>
      <c r="B17" s="4">
        <v>6</v>
      </c>
      <c r="C17" s="4"/>
      <c r="D17" s="4" t="s">
        <v>184</v>
      </c>
      <c r="E17" s="4" t="s">
        <v>6</v>
      </c>
      <c r="F17">
        <v>7</v>
      </c>
      <c r="G17" t="s">
        <v>249</v>
      </c>
    </row>
    <row r="18" spans="1:7" x14ac:dyDescent="0.25">
      <c r="A18" s="3" t="s">
        <v>183</v>
      </c>
      <c r="B18" s="4">
        <v>7</v>
      </c>
      <c r="C18" s="4"/>
      <c r="D18" s="4" t="s">
        <v>184</v>
      </c>
      <c r="E18" s="4" t="s">
        <v>6</v>
      </c>
      <c r="F18">
        <v>9</v>
      </c>
      <c r="G18" t="s">
        <v>249</v>
      </c>
    </row>
    <row r="19" spans="1:7" x14ac:dyDescent="0.25">
      <c r="A19" s="3" t="s">
        <v>183</v>
      </c>
      <c r="B19" s="4">
        <v>8</v>
      </c>
      <c r="C19" s="4"/>
      <c r="D19" s="4" t="s">
        <v>184</v>
      </c>
      <c r="E19" s="4" t="s">
        <v>6</v>
      </c>
      <c r="F19">
        <v>2</v>
      </c>
      <c r="G19" t="s">
        <v>249</v>
      </c>
    </row>
    <row r="20" spans="1:7" x14ac:dyDescent="0.25">
      <c r="A20" s="3" t="s">
        <v>183</v>
      </c>
      <c r="B20" s="4">
        <v>9</v>
      </c>
      <c r="C20" s="4"/>
      <c r="D20" s="4" t="s">
        <v>184</v>
      </c>
      <c r="E20" s="4" t="s">
        <v>6</v>
      </c>
      <c r="F20">
        <v>4</v>
      </c>
      <c r="G20" t="s">
        <v>249</v>
      </c>
    </row>
    <row r="21" spans="1:7" x14ac:dyDescent="0.25">
      <c r="A21" s="3" t="s">
        <v>183</v>
      </c>
      <c r="B21" s="4">
        <v>10</v>
      </c>
      <c r="C21" s="4"/>
      <c r="D21" s="4" t="s">
        <v>184</v>
      </c>
      <c r="E21" s="4" t="s">
        <v>6</v>
      </c>
      <c r="F21">
        <v>10</v>
      </c>
      <c r="G21" t="s">
        <v>249</v>
      </c>
    </row>
    <row r="22" spans="1:7" x14ac:dyDescent="0.25">
      <c r="A22" s="3" t="s">
        <v>185</v>
      </c>
      <c r="B22" s="4">
        <v>1</v>
      </c>
      <c r="C22" s="4"/>
      <c r="D22" s="4" t="s">
        <v>186</v>
      </c>
      <c r="E22" s="4" t="s">
        <v>6</v>
      </c>
      <c r="F22">
        <v>96</v>
      </c>
      <c r="G22" t="s">
        <v>249</v>
      </c>
    </row>
    <row r="23" spans="1:7" x14ac:dyDescent="0.25">
      <c r="A23" s="3" t="s">
        <v>185</v>
      </c>
      <c r="B23" s="4">
        <v>3</v>
      </c>
      <c r="C23" s="4"/>
      <c r="D23" s="4" t="s">
        <v>186</v>
      </c>
      <c r="E23" s="4" t="s">
        <v>6</v>
      </c>
      <c r="F23">
        <v>93</v>
      </c>
      <c r="G23" t="s">
        <v>249</v>
      </c>
    </row>
    <row r="24" spans="1:7" x14ac:dyDescent="0.25">
      <c r="A24" s="3" t="s">
        <v>185</v>
      </c>
      <c r="B24" s="4">
        <v>5</v>
      </c>
      <c r="C24" s="4"/>
      <c r="D24" s="4" t="s">
        <v>186</v>
      </c>
      <c r="E24" s="4" t="s">
        <v>6</v>
      </c>
      <c r="F24">
        <v>103</v>
      </c>
      <c r="G24" t="s">
        <v>249</v>
      </c>
    </row>
    <row r="25" spans="1:7" x14ac:dyDescent="0.25">
      <c r="A25" s="3" t="s">
        <v>185</v>
      </c>
      <c r="B25" s="4">
        <v>7</v>
      </c>
      <c r="C25" s="4"/>
      <c r="D25" s="4" t="s">
        <v>186</v>
      </c>
      <c r="E25" s="4" t="s">
        <v>6</v>
      </c>
      <c r="F25">
        <v>104</v>
      </c>
      <c r="G25" t="s">
        <v>249</v>
      </c>
    </row>
    <row r="26" spans="1:7" x14ac:dyDescent="0.25">
      <c r="A26" s="3" t="s">
        <v>185</v>
      </c>
      <c r="B26" s="4">
        <v>9</v>
      </c>
      <c r="C26" s="4"/>
      <c r="D26" s="4" t="s">
        <v>186</v>
      </c>
      <c r="E26" s="4" t="s">
        <v>6</v>
      </c>
      <c r="F26">
        <v>97</v>
      </c>
      <c r="G26" t="s">
        <v>249</v>
      </c>
    </row>
    <row r="27" spans="1:7" x14ac:dyDescent="0.25">
      <c r="A27" s="3" t="s">
        <v>185</v>
      </c>
      <c r="B27" s="4">
        <v>11</v>
      </c>
      <c r="C27" s="4"/>
      <c r="D27" s="4" t="s">
        <v>186</v>
      </c>
      <c r="E27" s="4" t="s">
        <v>6</v>
      </c>
      <c r="F27">
        <v>98</v>
      </c>
      <c r="G27" t="s">
        <v>249</v>
      </c>
    </row>
    <row r="28" spans="1:7" x14ac:dyDescent="0.25">
      <c r="A28" s="3" t="s">
        <v>185</v>
      </c>
      <c r="B28" s="4">
        <v>13</v>
      </c>
      <c r="C28" s="4"/>
      <c r="D28" s="4" t="s">
        <v>186</v>
      </c>
      <c r="E28" s="4" t="s">
        <v>6</v>
      </c>
      <c r="F28">
        <v>94</v>
      </c>
      <c r="G28" t="s">
        <v>249</v>
      </c>
    </row>
    <row r="29" spans="1:7" x14ac:dyDescent="0.25">
      <c r="A29" s="3" t="s">
        <v>185</v>
      </c>
      <c r="B29" s="4">
        <v>15</v>
      </c>
      <c r="C29" s="4"/>
      <c r="D29" s="4" t="s">
        <v>186</v>
      </c>
      <c r="E29" s="4" t="s">
        <v>6</v>
      </c>
      <c r="F29">
        <v>91</v>
      </c>
      <c r="G29" t="s">
        <v>249</v>
      </c>
    </row>
    <row r="30" spans="1:7" x14ac:dyDescent="0.25">
      <c r="A30" s="3" t="s">
        <v>185</v>
      </c>
      <c r="B30" s="4">
        <v>17</v>
      </c>
      <c r="C30" s="4"/>
      <c r="D30" s="4" t="s">
        <v>186</v>
      </c>
      <c r="E30" s="4" t="s">
        <v>6</v>
      </c>
      <c r="F30">
        <v>100</v>
      </c>
      <c r="G30" t="s">
        <v>249</v>
      </c>
    </row>
    <row r="31" spans="1:7" x14ac:dyDescent="0.25">
      <c r="A31" s="3" t="s">
        <v>185</v>
      </c>
      <c r="B31" s="4">
        <v>19</v>
      </c>
      <c r="C31" s="4"/>
      <c r="D31" s="4" t="s">
        <v>186</v>
      </c>
      <c r="E31" s="4" t="s">
        <v>6</v>
      </c>
      <c r="F31">
        <v>99</v>
      </c>
      <c r="G31" t="s">
        <v>249</v>
      </c>
    </row>
    <row r="32" spans="1:7" x14ac:dyDescent="0.25">
      <c r="A32" s="3" t="s">
        <v>185</v>
      </c>
      <c r="B32" s="4">
        <v>21</v>
      </c>
      <c r="C32" s="4"/>
      <c r="D32" s="4" t="s">
        <v>186</v>
      </c>
      <c r="E32" s="4" t="s">
        <v>6</v>
      </c>
      <c r="F32">
        <v>102</v>
      </c>
      <c r="G32" t="s">
        <v>249</v>
      </c>
    </row>
    <row r="33" spans="1:7" x14ac:dyDescent="0.25">
      <c r="A33" s="3" t="s">
        <v>185</v>
      </c>
      <c r="B33" s="4">
        <v>23</v>
      </c>
      <c r="C33" s="4"/>
      <c r="D33" s="4" t="s">
        <v>186</v>
      </c>
      <c r="E33" s="4" t="s">
        <v>6</v>
      </c>
      <c r="F33">
        <v>101</v>
      </c>
      <c r="G33" t="s">
        <v>249</v>
      </c>
    </row>
    <row r="34" spans="1:7" x14ac:dyDescent="0.25">
      <c r="A34" s="3" t="s">
        <v>185</v>
      </c>
      <c r="B34" s="4">
        <v>25</v>
      </c>
      <c r="C34" s="4"/>
      <c r="D34" s="4" t="s">
        <v>186</v>
      </c>
      <c r="E34" s="4" t="s">
        <v>6</v>
      </c>
      <c r="F34">
        <v>95</v>
      </c>
      <c r="G34" t="s">
        <v>249</v>
      </c>
    </row>
    <row r="35" spans="1:7" x14ac:dyDescent="0.25">
      <c r="A35" s="3" t="s">
        <v>185</v>
      </c>
      <c r="B35" s="4">
        <v>27</v>
      </c>
      <c r="C35" s="4"/>
      <c r="D35" s="4" t="s">
        <v>186</v>
      </c>
      <c r="E35" s="4" t="s">
        <v>6</v>
      </c>
      <c r="F35">
        <v>92</v>
      </c>
      <c r="G35" t="s">
        <v>249</v>
      </c>
    </row>
    <row r="36" spans="1:7" x14ac:dyDescent="0.25">
      <c r="A36" s="3" t="s">
        <v>187</v>
      </c>
      <c r="B36" s="4">
        <v>2</v>
      </c>
      <c r="C36" s="4"/>
      <c r="D36" s="4" t="s">
        <v>186</v>
      </c>
      <c r="E36" s="4" t="s">
        <v>6</v>
      </c>
      <c r="F36">
        <v>106</v>
      </c>
      <c r="G36" t="s">
        <v>249</v>
      </c>
    </row>
    <row r="37" spans="1:7" x14ac:dyDescent="0.25">
      <c r="A37" s="3" t="s">
        <v>187</v>
      </c>
      <c r="B37" s="4">
        <v>4</v>
      </c>
      <c r="C37" s="4"/>
      <c r="D37" s="4" t="s">
        <v>186</v>
      </c>
      <c r="E37" s="4" t="s">
        <v>6</v>
      </c>
      <c r="F37">
        <v>111</v>
      </c>
      <c r="G37" t="s">
        <v>249</v>
      </c>
    </row>
    <row r="38" spans="1:7" x14ac:dyDescent="0.25">
      <c r="A38" s="3" t="s">
        <v>187</v>
      </c>
      <c r="B38" s="4">
        <v>6</v>
      </c>
      <c r="C38" s="4"/>
      <c r="D38" s="4" t="s">
        <v>186</v>
      </c>
      <c r="E38" s="4" t="s">
        <v>6</v>
      </c>
      <c r="F38">
        <v>109</v>
      </c>
      <c r="G38" t="s">
        <v>249</v>
      </c>
    </row>
    <row r="39" spans="1:7" x14ac:dyDescent="0.25">
      <c r="A39" s="3" t="s">
        <v>187</v>
      </c>
      <c r="B39" s="4">
        <v>8</v>
      </c>
      <c r="C39" s="4"/>
      <c r="D39" s="4" t="s">
        <v>186</v>
      </c>
      <c r="E39" s="4" t="s">
        <v>6</v>
      </c>
      <c r="F39">
        <v>110</v>
      </c>
      <c r="G39" t="s">
        <v>249</v>
      </c>
    </row>
    <row r="40" spans="1:7" x14ac:dyDescent="0.25">
      <c r="A40" s="3" t="s">
        <v>187</v>
      </c>
      <c r="B40" s="4">
        <v>14</v>
      </c>
      <c r="C40" s="4"/>
      <c r="D40" s="4" t="s">
        <v>186</v>
      </c>
      <c r="E40" s="4" t="s">
        <v>6</v>
      </c>
      <c r="F40">
        <v>108</v>
      </c>
      <c r="G40" t="s">
        <v>249</v>
      </c>
    </row>
    <row r="41" spans="1:7" x14ac:dyDescent="0.25">
      <c r="A41" s="3" t="s">
        <v>187</v>
      </c>
      <c r="B41" s="4">
        <v>16</v>
      </c>
      <c r="C41" s="4"/>
      <c r="D41" s="4" t="s">
        <v>186</v>
      </c>
      <c r="E41" s="4" t="s">
        <v>6</v>
      </c>
      <c r="F41">
        <v>107</v>
      </c>
      <c r="G41" t="s">
        <v>249</v>
      </c>
    </row>
    <row r="42" spans="1:7" x14ac:dyDescent="0.25">
      <c r="A42" s="3" t="s">
        <v>187</v>
      </c>
      <c r="B42" s="4">
        <v>20</v>
      </c>
      <c r="C42" s="4"/>
      <c r="D42" s="4" t="s">
        <v>186</v>
      </c>
      <c r="E42" s="4" t="s">
        <v>6</v>
      </c>
      <c r="F42">
        <v>105</v>
      </c>
      <c r="G42" t="s">
        <v>249</v>
      </c>
    </row>
    <row r="43" spans="1:7" x14ac:dyDescent="0.25">
      <c r="A43" s="3" t="s">
        <v>189</v>
      </c>
      <c r="B43" s="4">
        <v>12</v>
      </c>
      <c r="C43" s="4"/>
      <c r="D43" s="4" t="s">
        <v>188</v>
      </c>
      <c r="E43" s="4" t="s">
        <v>6</v>
      </c>
      <c r="F43">
        <v>40</v>
      </c>
      <c r="G43" t="s">
        <v>249</v>
      </c>
    </row>
    <row r="44" spans="1:7" x14ac:dyDescent="0.25">
      <c r="A44" s="3" t="s">
        <v>189</v>
      </c>
      <c r="B44" s="4">
        <v>18</v>
      </c>
      <c r="C44" s="4"/>
      <c r="D44" s="4" t="s">
        <v>188</v>
      </c>
      <c r="E44" s="4" t="s">
        <v>6</v>
      </c>
      <c r="F44">
        <v>41</v>
      </c>
      <c r="G44" t="s">
        <v>249</v>
      </c>
    </row>
    <row r="45" spans="1:7" x14ac:dyDescent="0.25">
      <c r="A45" s="3" t="s">
        <v>190</v>
      </c>
      <c r="B45" s="4">
        <v>1</v>
      </c>
      <c r="C45" s="4"/>
      <c r="D45" s="4" t="s">
        <v>191</v>
      </c>
      <c r="E45" s="4" t="s">
        <v>6</v>
      </c>
      <c r="F45">
        <v>142</v>
      </c>
      <c r="G45" t="s">
        <v>249</v>
      </c>
    </row>
    <row r="46" spans="1:7" x14ac:dyDescent="0.25">
      <c r="A46" s="3" t="s">
        <v>190</v>
      </c>
      <c r="B46" s="4">
        <v>2</v>
      </c>
      <c r="C46" s="4"/>
      <c r="D46" s="4" t="s">
        <v>191</v>
      </c>
      <c r="E46" s="4" t="s">
        <v>6</v>
      </c>
      <c r="F46">
        <v>144</v>
      </c>
      <c r="G46" t="s">
        <v>249</v>
      </c>
    </row>
    <row r="47" spans="1:7" x14ac:dyDescent="0.25">
      <c r="A47" s="3" t="s">
        <v>190</v>
      </c>
      <c r="B47" s="4">
        <v>3</v>
      </c>
      <c r="C47" s="4"/>
      <c r="D47" s="4" t="s">
        <v>191</v>
      </c>
      <c r="E47" s="4" t="s">
        <v>6</v>
      </c>
      <c r="F47">
        <v>148</v>
      </c>
      <c r="G47" t="s">
        <v>249</v>
      </c>
    </row>
    <row r="48" spans="1:7" x14ac:dyDescent="0.25">
      <c r="A48" s="3" t="s">
        <v>190</v>
      </c>
      <c r="B48" s="4">
        <v>4</v>
      </c>
      <c r="C48" s="4"/>
      <c r="D48" s="4" t="s">
        <v>191</v>
      </c>
      <c r="E48" s="4" t="s">
        <v>6</v>
      </c>
      <c r="F48">
        <v>158</v>
      </c>
      <c r="G48" t="s">
        <v>249</v>
      </c>
    </row>
    <row r="49" spans="1:7" x14ac:dyDescent="0.25">
      <c r="A49" s="3" t="s">
        <v>190</v>
      </c>
      <c r="B49" s="4">
        <v>5</v>
      </c>
      <c r="C49" s="4"/>
      <c r="D49" s="4" t="s">
        <v>191</v>
      </c>
      <c r="E49" s="4" t="s">
        <v>6</v>
      </c>
      <c r="F49">
        <v>146</v>
      </c>
      <c r="G49" t="s">
        <v>249</v>
      </c>
    </row>
    <row r="50" spans="1:7" x14ac:dyDescent="0.25">
      <c r="A50" s="3" t="s">
        <v>190</v>
      </c>
      <c r="B50" s="4">
        <v>6</v>
      </c>
      <c r="C50" s="4"/>
      <c r="D50" s="4" t="s">
        <v>191</v>
      </c>
      <c r="E50" s="4" t="s">
        <v>6</v>
      </c>
      <c r="F50">
        <v>143</v>
      </c>
      <c r="G50" t="s">
        <v>249</v>
      </c>
    </row>
    <row r="51" spans="1:7" x14ac:dyDescent="0.25">
      <c r="A51" s="3" t="s">
        <v>190</v>
      </c>
      <c r="B51" s="4">
        <v>7</v>
      </c>
      <c r="C51" s="4"/>
      <c r="D51" s="4" t="s">
        <v>191</v>
      </c>
      <c r="E51" s="4" t="s">
        <v>6</v>
      </c>
      <c r="F51">
        <v>157</v>
      </c>
      <c r="G51" t="s">
        <v>249</v>
      </c>
    </row>
    <row r="52" spans="1:7" x14ac:dyDescent="0.25">
      <c r="A52" s="3" t="s">
        <v>190</v>
      </c>
      <c r="B52" s="4">
        <v>8</v>
      </c>
      <c r="C52" s="4"/>
      <c r="D52" s="4" t="s">
        <v>191</v>
      </c>
      <c r="E52" s="4" t="s">
        <v>6</v>
      </c>
      <c r="F52">
        <v>150</v>
      </c>
      <c r="G52" t="s">
        <v>249</v>
      </c>
    </row>
    <row r="53" spans="1:7" x14ac:dyDescent="0.25">
      <c r="A53" s="3" t="s">
        <v>190</v>
      </c>
      <c r="B53" s="4">
        <v>9</v>
      </c>
      <c r="C53" s="4"/>
      <c r="D53" s="4" t="s">
        <v>191</v>
      </c>
      <c r="E53" s="4" t="s">
        <v>6</v>
      </c>
      <c r="F53">
        <v>147</v>
      </c>
      <c r="G53" t="s">
        <v>249</v>
      </c>
    </row>
    <row r="54" spans="1:7" x14ac:dyDescent="0.25">
      <c r="A54" s="3" t="s">
        <v>190</v>
      </c>
      <c r="B54" s="4">
        <v>10</v>
      </c>
      <c r="C54" s="4"/>
      <c r="D54" s="4" t="s">
        <v>191</v>
      </c>
      <c r="E54" s="4" t="s">
        <v>6</v>
      </c>
      <c r="F54">
        <v>160</v>
      </c>
      <c r="G54" t="s">
        <v>249</v>
      </c>
    </row>
    <row r="55" spans="1:7" x14ac:dyDescent="0.25">
      <c r="A55" s="3" t="s">
        <v>190</v>
      </c>
      <c r="B55" s="4">
        <v>11</v>
      </c>
      <c r="C55" s="4"/>
      <c r="D55" s="4" t="s">
        <v>191</v>
      </c>
      <c r="E55" s="4" t="s">
        <v>6</v>
      </c>
      <c r="F55">
        <v>153</v>
      </c>
      <c r="G55" t="s">
        <v>249</v>
      </c>
    </row>
    <row r="56" spans="1:7" x14ac:dyDescent="0.25">
      <c r="A56" s="3" t="s">
        <v>190</v>
      </c>
      <c r="B56" s="4">
        <v>12</v>
      </c>
      <c r="C56" s="4"/>
      <c r="D56" s="4" t="s">
        <v>191</v>
      </c>
      <c r="E56" s="4" t="s">
        <v>6</v>
      </c>
      <c r="F56">
        <v>152</v>
      </c>
      <c r="G56" t="s">
        <v>249</v>
      </c>
    </row>
    <row r="57" spans="1:7" x14ac:dyDescent="0.25">
      <c r="A57" s="3" t="s">
        <v>190</v>
      </c>
      <c r="B57" s="4">
        <v>13</v>
      </c>
      <c r="C57" s="4"/>
      <c r="D57" s="4" t="s">
        <v>191</v>
      </c>
      <c r="E57" s="4" t="s">
        <v>6</v>
      </c>
      <c r="F57">
        <v>154</v>
      </c>
      <c r="G57" t="s">
        <v>249</v>
      </c>
    </row>
    <row r="58" spans="1:7" x14ac:dyDescent="0.25">
      <c r="A58" s="3" t="s">
        <v>190</v>
      </c>
      <c r="B58" s="4">
        <v>14</v>
      </c>
      <c r="C58" s="4"/>
      <c r="D58" s="4" t="s">
        <v>191</v>
      </c>
      <c r="E58" s="4" t="s">
        <v>6</v>
      </c>
      <c r="F58">
        <v>149</v>
      </c>
      <c r="G58" t="s">
        <v>249</v>
      </c>
    </row>
    <row r="59" spans="1:7" x14ac:dyDescent="0.25">
      <c r="A59" s="3" t="s">
        <v>190</v>
      </c>
      <c r="B59" s="4">
        <v>16</v>
      </c>
      <c r="C59" s="4"/>
      <c r="D59" s="4" t="s">
        <v>191</v>
      </c>
      <c r="E59" s="4" t="s">
        <v>6</v>
      </c>
      <c r="F59">
        <v>155</v>
      </c>
      <c r="G59" t="s">
        <v>249</v>
      </c>
    </row>
    <row r="60" spans="1:7" x14ac:dyDescent="0.25">
      <c r="A60" s="3" t="s">
        <v>190</v>
      </c>
      <c r="B60" s="4">
        <v>18</v>
      </c>
      <c r="C60" s="4"/>
      <c r="D60" s="4" t="s">
        <v>191</v>
      </c>
      <c r="E60" s="4" t="s">
        <v>6</v>
      </c>
      <c r="F60">
        <v>151</v>
      </c>
      <c r="G60" t="s">
        <v>249</v>
      </c>
    </row>
    <row r="61" spans="1:7" x14ac:dyDescent="0.25">
      <c r="A61" s="3" t="s">
        <v>190</v>
      </c>
      <c r="B61" s="4">
        <v>20</v>
      </c>
      <c r="C61" s="4"/>
      <c r="D61" s="4" t="s">
        <v>191</v>
      </c>
      <c r="E61" s="4" t="s">
        <v>6</v>
      </c>
      <c r="F61">
        <v>145</v>
      </c>
      <c r="G61" t="s">
        <v>249</v>
      </c>
    </row>
    <row r="62" spans="1:7" x14ac:dyDescent="0.25">
      <c r="A62" s="3" t="s">
        <v>190</v>
      </c>
      <c r="B62" s="4">
        <v>22</v>
      </c>
      <c r="C62" s="4"/>
      <c r="D62" s="4" t="s">
        <v>191</v>
      </c>
      <c r="E62" s="4" t="s">
        <v>6</v>
      </c>
      <c r="F62">
        <v>159</v>
      </c>
      <c r="G62" t="s">
        <v>249</v>
      </c>
    </row>
    <row r="63" spans="1:7" x14ac:dyDescent="0.25">
      <c r="A63" s="3" t="s">
        <v>190</v>
      </c>
      <c r="B63" s="4">
        <v>24</v>
      </c>
      <c r="C63" s="4"/>
      <c r="D63" s="4" t="s">
        <v>191</v>
      </c>
      <c r="E63" s="4" t="s">
        <v>6</v>
      </c>
      <c r="F63">
        <v>156</v>
      </c>
      <c r="G63" t="s">
        <v>249</v>
      </c>
    </row>
    <row r="64" spans="1:7" x14ac:dyDescent="0.25">
      <c r="A64" s="3" t="s">
        <v>209</v>
      </c>
      <c r="B64" s="4">
        <v>1</v>
      </c>
      <c r="C64" s="4"/>
      <c r="D64" s="4" t="s">
        <v>210</v>
      </c>
      <c r="E64" s="4" t="s">
        <v>6</v>
      </c>
      <c r="F64">
        <v>103</v>
      </c>
      <c r="G64" t="s">
        <v>250</v>
      </c>
    </row>
    <row r="65" spans="1:7" x14ac:dyDescent="0.25">
      <c r="A65" s="3" t="s">
        <v>209</v>
      </c>
      <c r="B65" s="4">
        <v>3</v>
      </c>
      <c r="C65" s="4"/>
      <c r="D65" s="4" t="s">
        <v>210</v>
      </c>
      <c r="E65" s="4" t="s">
        <v>6</v>
      </c>
      <c r="F65">
        <v>98</v>
      </c>
      <c r="G65" t="s">
        <v>250</v>
      </c>
    </row>
    <row r="66" spans="1:7" x14ac:dyDescent="0.25">
      <c r="A66" s="3" t="s">
        <v>209</v>
      </c>
      <c r="B66" s="4">
        <v>5</v>
      </c>
      <c r="C66" s="4"/>
      <c r="D66" s="4" t="s">
        <v>210</v>
      </c>
      <c r="E66" s="4" t="s">
        <v>6</v>
      </c>
      <c r="F66">
        <v>96</v>
      </c>
      <c r="G66" t="s">
        <v>250</v>
      </c>
    </row>
    <row r="67" spans="1:7" x14ac:dyDescent="0.25">
      <c r="A67" s="3" t="s">
        <v>209</v>
      </c>
      <c r="B67" s="4">
        <v>6</v>
      </c>
      <c r="C67" s="4"/>
      <c r="D67" s="4" t="s">
        <v>210</v>
      </c>
      <c r="E67" s="4" t="s">
        <v>6</v>
      </c>
      <c r="F67">
        <v>111</v>
      </c>
      <c r="G67" t="s">
        <v>250</v>
      </c>
    </row>
    <row r="68" spans="1:7" x14ac:dyDescent="0.25">
      <c r="A68" s="3" t="s">
        <v>209</v>
      </c>
      <c r="B68" s="4">
        <v>7</v>
      </c>
      <c r="C68" s="4"/>
      <c r="D68" s="4" t="s">
        <v>210</v>
      </c>
      <c r="E68" s="4" t="s">
        <v>6</v>
      </c>
      <c r="F68">
        <v>99</v>
      </c>
      <c r="G68" t="s">
        <v>250</v>
      </c>
    </row>
    <row r="69" spans="1:7" x14ac:dyDescent="0.25">
      <c r="A69" s="3" t="s">
        <v>209</v>
      </c>
      <c r="B69" s="4">
        <v>8</v>
      </c>
      <c r="C69" s="4"/>
      <c r="D69" s="4" t="s">
        <v>210</v>
      </c>
      <c r="E69" s="4" t="s">
        <v>6</v>
      </c>
      <c r="F69">
        <v>105</v>
      </c>
      <c r="G69" t="s">
        <v>250</v>
      </c>
    </row>
    <row r="70" spans="1:7" x14ac:dyDescent="0.25">
      <c r="A70" s="3" t="s">
        <v>209</v>
      </c>
      <c r="B70" s="4">
        <v>9</v>
      </c>
      <c r="C70" s="4"/>
      <c r="D70" s="4" t="s">
        <v>210</v>
      </c>
      <c r="E70" s="4" t="s">
        <v>6</v>
      </c>
      <c r="F70">
        <v>104</v>
      </c>
      <c r="G70" t="s">
        <v>250</v>
      </c>
    </row>
    <row r="71" spans="1:7" x14ac:dyDescent="0.25">
      <c r="A71" s="3" t="s">
        <v>209</v>
      </c>
      <c r="B71" s="4">
        <v>10</v>
      </c>
      <c r="C71" s="4"/>
      <c r="D71" s="4" t="s">
        <v>210</v>
      </c>
      <c r="E71" s="4" t="s">
        <v>6</v>
      </c>
      <c r="F71">
        <v>106</v>
      </c>
      <c r="G71" t="s">
        <v>250</v>
      </c>
    </row>
    <row r="72" spans="1:7" x14ac:dyDescent="0.25">
      <c r="A72" s="3" t="s">
        <v>209</v>
      </c>
      <c r="B72" s="4">
        <v>11</v>
      </c>
      <c r="C72" s="4"/>
      <c r="D72" s="4" t="s">
        <v>210</v>
      </c>
      <c r="E72" s="4" t="s">
        <v>6</v>
      </c>
      <c r="F72">
        <v>101</v>
      </c>
      <c r="G72" t="s">
        <v>250</v>
      </c>
    </row>
    <row r="73" spans="1:7" x14ac:dyDescent="0.25">
      <c r="A73" s="3" t="s">
        <v>209</v>
      </c>
      <c r="B73" s="4">
        <v>12</v>
      </c>
      <c r="C73" s="4"/>
      <c r="D73" s="4" t="s">
        <v>210</v>
      </c>
      <c r="E73" s="4" t="s">
        <v>6</v>
      </c>
      <c r="F73">
        <v>102</v>
      </c>
      <c r="G73" t="s">
        <v>250</v>
      </c>
    </row>
    <row r="74" spans="1:7" x14ac:dyDescent="0.25">
      <c r="A74" s="3" t="s">
        <v>209</v>
      </c>
      <c r="B74" s="4">
        <v>13</v>
      </c>
      <c r="C74" s="4"/>
      <c r="D74" s="4" t="s">
        <v>210</v>
      </c>
      <c r="E74" s="4" t="s">
        <v>6</v>
      </c>
      <c r="F74">
        <v>107</v>
      </c>
      <c r="G74" t="s">
        <v>250</v>
      </c>
    </row>
    <row r="75" spans="1:7" x14ac:dyDescent="0.25">
      <c r="A75" s="3" t="s">
        <v>209</v>
      </c>
      <c r="B75" s="4">
        <v>14</v>
      </c>
      <c r="C75" s="4"/>
      <c r="D75" s="4" t="s">
        <v>210</v>
      </c>
      <c r="E75" s="4" t="s">
        <v>6</v>
      </c>
      <c r="F75">
        <v>108</v>
      </c>
      <c r="G75" t="s">
        <v>250</v>
      </c>
    </row>
    <row r="76" spans="1:7" x14ac:dyDescent="0.25">
      <c r="A76" s="3" t="s">
        <v>209</v>
      </c>
      <c r="B76" s="4">
        <v>15</v>
      </c>
      <c r="C76" s="4"/>
      <c r="D76" s="4" t="s">
        <v>210</v>
      </c>
      <c r="E76" s="4" t="s">
        <v>6</v>
      </c>
      <c r="F76">
        <v>112</v>
      </c>
      <c r="G76" t="s">
        <v>250</v>
      </c>
    </row>
    <row r="77" spans="1:7" x14ac:dyDescent="0.25">
      <c r="A77" s="3" t="s">
        <v>209</v>
      </c>
      <c r="B77" s="4">
        <v>16</v>
      </c>
      <c r="C77" s="4"/>
      <c r="D77" s="4" t="s">
        <v>210</v>
      </c>
      <c r="E77" s="4" t="s">
        <v>6</v>
      </c>
      <c r="F77">
        <v>97</v>
      </c>
      <c r="G77" t="s">
        <v>250</v>
      </c>
    </row>
    <row r="78" spans="1:7" x14ac:dyDescent="0.25">
      <c r="A78" s="3" t="s">
        <v>209</v>
      </c>
      <c r="B78" s="4">
        <v>17</v>
      </c>
      <c r="C78" s="4"/>
      <c r="D78" s="4" t="s">
        <v>210</v>
      </c>
      <c r="E78" s="4" t="s">
        <v>6</v>
      </c>
      <c r="F78">
        <v>126</v>
      </c>
      <c r="G78" t="s">
        <v>250</v>
      </c>
    </row>
    <row r="79" spans="1:7" x14ac:dyDescent="0.25">
      <c r="A79" s="3" t="s">
        <v>209</v>
      </c>
      <c r="B79" s="4">
        <v>18</v>
      </c>
      <c r="C79" s="4"/>
      <c r="D79" s="4" t="s">
        <v>210</v>
      </c>
      <c r="E79" s="4" t="s">
        <v>6</v>
      </c>
      <c r="F79">
        <v>129</v>
      </c>
      <c r="G79" t="s">
        <v>250</v>
      </c>
    </row>
    <row r="80" spans="1:7" x14ac:dyDescent="0.25">
      <c r="A80" s="3" t="s">
        <v>209</v>
      </c>
      <c r="B80" s="4">
        <v>19</v>
      </c>
      <c r="C80" s="4"/>
      <c r="D80" s="4" t="s">
        <v>210</v>
      </c>
      <c r="E80" s="4" t="s">
        <v>6</v>
      </c>
      <c r="F80">
        <v>113</v>
      </c>
      <c r="G80" t="s">
        <v>250</v>
      </c>
    </row>
    <row r="81" spans="1:7" x14ac:dyDescent="0.25">
      <c r="A81" s="3" t="s">
        <v>209</v>
      </c>
      <c r="B81" s="4">
        <v>20</v>
      </c>
      <c r="C81" s="4"/>
      <c r="D81" s="4" t="s">
        <v>210</v>
      </c>
      <c r="E81" s="4" t="s">
        <v>6</v>
      </c>
      <c r="F81">
        <v>100</v>
      </c>
      <c r="G81" t="s">
        <v>250</v>
      </c>
    </row>
    <row r="82" spans="1:7" x14ac:dyDescent="0.25">
      <c r="A82" s="3" t="s">
        <v>209</v>
      </c>
      <c r="B82" s="4">
        <v>21</v>
      </c>
      <c r="C82" s="4"/>
      <c r="D82" s="4" t="s">
        <v>210</v>
      </c>
      <c r="E82" s="4" t="s">
        <v>6</v>
      </c>
      <c r="F82">
        <v>110</v>
      </c>
      <c r="G82" t="s">
        <v>250</v>
      </c>
    </row>
    <row r="83" spans="1:7" x14ac:dyDescent="0.25">
      <c r="A83" s="3" t="s">
        <v>209</v>
      </c>
      <c r="B83" s="4">
        <v>23</v>
      </c>
      <c r="C83" s="4"/>
      <c r="D83" s="4" t="s">
        <v>210</v>
      </c>
      <c r="E83" s="4" t="s">
        <v>6</v>
      </c>
      <c r="F83">
        <v>128</v>
      </c>
      <c r="G83" t="s">
        <v>250</v>
      </c>
    </row>
    <row r="84" spans="1:7" x14ac:dyDescent="0.25">
      <c r="A84" s="3" t="s">
        <v>209</v>
      </c>
      <c r="B84" s="4">
        <v>25</v>
      </c>
      <c r="C84" s="4"/>
      <c r="D84" s="4" t="s">
        <v>210</v>
      </c>
      <c r="E84" s="4" t="s">
        <v>6</v>
      </c>
      <c r="F84">
        <v>125</v>
      </c>
      <c r="G84" t="s">
        <v>250</v>
      </c>
    </row>
    <row r="85" spans="1:7" x14ac:dyDescent="0.25">
      <c r="A85" s="3" t="s">
        <v>209</v>
      </c>
      <c r="B85" s="4">
        <v>27</v>
      </c>
      <c r="C85" s="4"/>
      <c r="D85" s="4" t="s">
        <v>210</v>
      </c>
      <c r="E85" s="4" t="s">
        <v>6</v>
      </c>
      <c r="F85">
        <v>121</v>
      </c>
      <c r="G85" t="s">
        <v>250</v>
      </c>
    </row>
    <row r="86" spans="1:7" x14ac:dyDescent="0.25">
      <c r="A86" s="3" t="s">
        <v>209</v>
      </c>
      <c r="B86" s="4">
        <v>29</v>
      </c>
      <c r="C86" s="4"/>
      <c r="D86" s="4" t="s">
        <v>210</v>
      </c>
      <c r="E86" s="4" t="s">
        <v>6</v>
      </c>
      <c r="F86">
        <v>119</v>
      </c>
      <c r="G86" t="s">
        <v>250</v>
      </c>
    </row>
    <row r="87" spans="1:7" x14ac:dyDescent="0.25">
      <c r="A87" s="3" t="s">
        <v>209</v>
      </c>
      <c r="B87" s="4">
        <v>31</v>
      </c>
      <c r="C87" s="4"/>
      <c r="D87" s="4" t="s">
        <v>210</v>
      </c>
      <c r="E87" s="4" t="s">
        <v>6</v>
      </c>
      <c r="F87">
        <v>117</v>
      </c>
      <c r="G87" t="s">
        <v>250</v>
      </c>
    </row>
    <row r="88" spans="1:7" x14ac:dyDescent="0.25">
      <c r="A88" s="3" t="s">
        <v>209</v>
      </c>
      <c r="B88" s="4">
        <v>33</v>
      </c>
      <c r="C88" s="4"/>
      <c r="D88" s="4" t="s">
        <v>210</v>
      </c>
      <c r="E88" s="4" t="s">
        <v>6</v>
      </c>
      <c r="F88">
        <v>114</v>
      </c>
      <c r="G88" t="s">
        <v>250</v>
      </c>
    </row>
    <row r="89" spans="1:7" x14ac:dyDescent="0.25">
      <c r="A89" s="3" t="s">
        <v>209</v>
      </c>
      <c r="B89" s="4">
        <v>35</v>
      </c>
      <c r="C89" s="4"/>
      <c r="D89" s="4" t="s">
        <v>210</v>
      </c>
      <c r="E89" s="4" t="s">
        <v>6</v>
      </c>
      <c r="F89">
        <v>109</v>
      </c>
      <c r="G89" t="s">
        <v>250</v>
      </c>
    </row>
    <row r="90" spans="1:7" x14ac:dyDescent="0.25">
      <c r="A90" s="3" t="s">
        <v>209</v>
      </c>
      <c r="B90" s="4">
        <v>37</v>
      </c>
      <c r="C90" s="4"/>
      <c r="D90" s="4" t="s">
        <v>210</v>
      </c>
      <c r="E90" s="4" t="s">
        <v>6</v>
      </c>
      <c r="F90">
        <v>115</v>
      </c>
      <c r="G90" t="s">
        <v>250</v>
      </c>
    </row>
    <row r="91" spans="1:7" x14ac:dyDescent="0.25">
      <c r="A91" s="3" t="s">
        <v>209</v>
      </c>
      <c r="B91" s="4">
        <v>39</v>
      </c>
      <c r="C91" s="4"/>
      <c r="D91" s="4" t="s">
        <v>210</v>
      </c>
      <c r="E91" s="4" t="s">
        <v>6</v>
      </c>
      <c r="F91">
        <v>123</v>
      </c>
      <c r="G91" t="s">
        <v>250</v>
      </c>
    </row>
    <row r="92" spans="1:7" x14ac:dyDescent="0.25">
      <c r="A92" s="3" t="s">
        <v>209</v>
      </c>
      <c r="B92" s="4">
        <v>41</v>
      </c>
      <c r="C92" s="4"/>
      <c r="D92" s="4" t="s">
        <v>210</v>
      </c>
      <c r="E92" s="4" t="s">
        <v>6</v>
      </c>
      <c r="F92">
        <v>120</v>
      </c>
      <c r="G92" t="s">
        <v>250</v>
      </c>
    </row>
    <row r="93" spans="1:7" x14ac:dyDescent="0.25">
      <c r="A93" s="3" t="s">
        <v>209</v>
      </c>
      <c r="B93" s="4">
        <v>43</v>
      </c>
      <c r="C93" s="4"/>
      <c r="D93" s="4" t="s">
        <v>210</v>
      </c>
      <c r="E93" s="4" t="s">
        <v>6</v>
      </c>
      <c r="F93">
        <v>127</v>
      </c>
      <c r="G93" t="s">
        <v>250</v>
      </c>
    </row>
    <row r="94" spans="1:7" x14ac:dyDescent="0.25">
      <c r="A94" s="3" t="s">
        <v>209</v>
      </c>
      <c r="B94" s="4">
        <v>45</v>
      </c>
      <c r="C94" s="4"/>
      <c r="D94" s="4" t="s">
        <v>210</v>
      </c>
      <c r="E94" s="4" t="s">
        <v>6</v>
      </c>
      <c r="F94">
        <v>116</v>
      </c>
      <c r="G94" t="s">
        <v>250</v>
      </c>
    </row>
    <row r="95" spans="1:7" x14ac:dyDescent="0.25">
      <c r="A95" s="3" t="s">
        <v>209</v>
      </c>
      <c r="B95" s="4">
        <v>47</v>
      </c>
      <c r="C95" s="4"/>
      <c r="D95" s="4" t="s">
        <v>210</v>
      </c>
      <c r="E95" s="4" t="s">
        <v>6</v>
      </c>
      <c r="F95">
        <v>118</v>
      </c>
      <c r="G95" t="s">
        <v>250</v>
      </c>
    </row>
    <row r="96" spans="1:7" x14ac:dyDescent="0.25">
      <c r="A96" s="3" t="s">
        <v>209</v>
      </c>
      <c r="B96" s="4">
        <v>49</v>
      </c>
      <c r="C96" s="4"/>
      <c r="D96" s="4" t="s">
        <v>210</v>
      </c>
      <c r="E96" s="4" t="s">
        <v>6</v>
      </c>
      <c r="F96">
        <v>124</v>
      </c>
      <c r="G96" t="s">
        <v>250</v>
      </c>
    </row>
    <row r="97" spans="1:7" x14ac:dyDescent="0.25">
      <c r="A97" s="3" t="s">
        <v>209</v>
      </c>
      <c r="B97" s="4">
        <v>51</v>
      </c>
      <c r="C97" s="4"/>
      <c r="D97" s="4" t="s">
        <v>210</v>
      </c>
      <c r="E97" s="4" t="s">
        <v>6</v>
      </c>
      <c r="F97">
        <v>122</v>
      </c>
      <c r="G97" t="s">
        <v>250</v>
      </c>
    </row>
  </sheetData>
  <sortState xmlns:xlrd2="http://schemas.microsoft.com/office/spreadsheetml/2017/richdata2" ref="A2:G97">
    <sortCondition ref="A2:A97"/>
    <sortCondition ref="B2:B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Hoevelaken-adressenlijst</vt:lpstr>
      <vt:lpstr>Blad1</vt:lpstr>
      <vt:lpstr>Blad2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René Kwee</cp:lastModifiedBy>
  <dcterms:created xsi:type="dcterms:W3CDTF">2025-12-04T15:26:32Z</dcterms:created>
  <dcterms:modified xsi:type="dcterms:W3CDTF">2025-12-23T15:48:29Z</dcterms:modified>
</cp:coreProperties>
</file>